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E5DF06-C024-49A4-8913-E952FBEFC05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unction 1" sheetId="1" r:id="rId1"/>
    <sheet name="Function 2" sheetId="2" r:id="rId2"/>
    <sheet name="IF" sheetId="3" r:id="rId3"/>
    <sheet name="AND, OR" sheetId="4" r:id="rId4"/>
    <sheet name="IF_Continue" sheetId="5" r:id="rId5"/>
    <sheet name="Table" sheetId="6" r:id="rId6"/>
    <sheet name="Data Validation" sheetId="7" r:id="rId7"/>
    <sheet name="Flash Fill" sheetId="8" r:id="rId8"/>
  </sheets>
  <definedNames>
    <definedName name="_xlnm._FilterDatabase" localSheetId="4" hidden="1">IF_Continue!$B$6:$I$56</definedName>
    <definedName name="Commision">'Function 2'!$H$5:$H$54</definedName>
    <definedName name="Month">'Function 2'!$D$5:$D$54</definedName>
    <definedName name="Premium">'Function 2'!$I$5:$I$54</definedName>
    <definedName name="Salary">'Function 1'!$H$5:$H$22</definedName>
    <definedName name="Tax">'Function 1'!$I$5:$I$22</definedName>
    <definedName name="Type">'Function 2'!$G$5:$G$54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M2ZSi4dTb6CDZkEjdqW1wW9nr6HHYazHz7yqLreow7Q="/>
    </ext>
  </extLst>
</workbook>
</file>

<file path=xl/calcChain.xml><?xml version="1.0" encoding="utf-8"?>
<calcChain xmlns="http://schemas.openxmlformats.org/spreadsheetml/2006/main">
  <c r="O12" i="2" l="1"/>
  <c r="N26" i="2"/>
  <c r="N25" i="2"/>
  <c r="N24" i="2"/>
  <c r="N23" i="2"/>
  <c r="N22" i="2"/>
  <c r="N21" i="2"/>
  <c r="N20" i="2"/>
  <c r="O11" i="2"/>
  <c r="N13" i="2"/>
  <c r="N12" i="2"/>
  <c r="N11" i="2"/>
  <c r="O5" i="2"/>
  <c r="O4" i="2"/>
  <c r="O6" i="2"/>
  <c r="N6" i="2"/>
  <c r="N5" i="2"/>
  <c r="N4" i="2"/>
  <c r="N9" i="1"/>
  <c r="N8" i="1"/>
  <c r="N7" i="1"/>
  <c r="N6" i="1"/>
  <c r="M10" i="1"/>
  <c r="M9" i="1"/>
  <c r="M8" i="1"/>
  <c r="M7" i="1"/>
  <c r="M6" i="1"/>
  <c r="N5" i="1"/>
  <c r="M5" i="1"/>
</calcChain>
</file>

<file path=xl/sharedStrings.xml><?xml version="1.0" encoding="utf-8"?>
<sst xmlns="http://schemas.openxmlformats.org/spreadsheetml/2006/main" count="1210" uniqueCount="294">
  <si>
    <t>10ALYTICS PAYROLL DATA_JANUARY 2022</t>
  </si>
  <si>
    <t>FUNCTIONS</t>
  </si>
  <si>
    <t>Staff ID</t>
  </si>
  <si>
    <t>Name</t>
  </si>
  <si>
    <t>Country</t>
  </si>
  <si>
    <t>Age</t>
  </si>
  <si>
    <t>Department</t>
  </si>
  <si>
    <t>Level</t>
  </si>
  <si>
    <t>Salary</t>
  </si>
  <si>
    <t>Tax</t>
  </si>
  <si>
    <t>10A7</t>
  </si>
  <si>
    <t>Ehindero Adams</t>
  </si>
  <si>
    <t>Bahamas</t>
  </si>
  <si>
    <t>Risk Management</t>
  </si>
  <si>
    <t>Senior Manager</t>
  </si>
  <si>
    <t>SUM</t>
  </si>
  <si>
    <t>10A18</t>
  </si>
  <si>
    <t>Saheed Herriot</t>
  </si>
  <si>
    <t>Nigeria</t>
  </si>
  <si>
    <t>Senior Analyst</t>
  </si>
  <si>
    <t>MINIMUM</t>
  </si>
  <si>
    <t>10A5</t>
  </si>
  <si>
    <t>Adeniyi Adams</t>
  </si>
  <si>
    <t>France</t>
  </si>
  <si>
    <t>Administration</t>
  </si>
  <si>
    <t>Analyst</t>
  </si>
  <si>
    <t>MAXIMUM</t>
  </si>
  <si>
    <t>10A1</t>
  </si>
  <si>
    <t>Olayinka Selhorst</t>
  </si>
  <si>
    <t>Brazil</t>
  </si>
  <si>
    <t>Procurement</t>
  </si>
  <si>
    <t>COUNT</t>
  </si>
  <si>
    <t>10A6</t>
  </si>
  <si>
    <t>Fasinu Dennis</t>
  </si>
  <si>
    <t>Ghana</t>
  </si>
  <si>
    <t>Internal Audit</t>
  </si>
  <si>
    <t>Manager</t>
  </si>
  <si>
    <t>COUNTA</t>
  </si>
  <si>
    <t>10A10</t>
  </si>
  <si>
    <t>Taoheed Matt</t>
  </si>
  <si>
    <t>USA</t>
  </si>
  <si>
    <t>Marketing</t>
  </si>
  <si>
    <t>COUNTBLANK</t>
  </si>
  <si>
    <t>10A12</t>
  </si>
  <si>
    <t>Adeniyi Panovsky</t>
  </si>
  <si>
    <t>Finance</t>
  </si>
  <si>
    <t>10A19</t>
  </si>
  <si>
    <t>Bamidele Thomas</t>
  </si>
  <si>
    <t>Senegal</t>
  </si>
  <si>
    <t>Operations</t>
  </si>
  <si>
    <t>10A13</t>
  </si>
  <si>
    <t>Adebola Selhorst</t>
  </si>
  <si>
    <t>England</t>
  </si>
  <si>
    <t>Technology</t>
  </si>
  <si>
    <t>10A11</t>
  </si>
  <si>
    <t>Omolara Yancer</t>
  </si>
  <si>
    <t>Mexico</t>
  </si>
  <si>
    <t>10A4</t>
  </si>
  <si>
    <t>Olaogun Panovsky</t>
  </si>
  <si>
    <t>Japan</t>
  </si>
  <si>
    <t>10A3</t>
  </si>
  <si>
    <t>Ayo Adams</t>
  </si>
  <si>
    <t>Jamaica</t>
  </si>
  <si>
    <t>HR</t>
  </si>
  <si>
    <t>10A15</t>
  </si>
  <si>
    <t>Adeniyi Ferris</t>
  </si>
  <si>
    <t>10A8</t>
  </si>
  <si>
    <t>Akanteyon Miller</t>
  </si>
  <si>
    <t>Canada</t>
  </si>
  <si>
    <t>10A20</t>
  </si>
  <si>
    <t>Odumosu Jones</t>
  </si>
  <si>
    <t>10A2</t>
  </si>
  <si>
    <t>Peter Ezichi</t>
  </si>
  <si>
    <t>10A17</t>
  </si>
  <si>
    <t>Ayo ogbonna</t>
  </si>
  <si>
    <t>Uruguay</t>
  </si>
  <si>
    <t>10A16</t>
  </si>
  <si>
    <t>Toyin Mitchell</t>
  </si>
  <si>
    <t>Insurance</t>
  </si>
  <si>
    <t>Q4 2022 Insurance Data</t>
  </si>
  <si>
    <t>SUMIF</t>
  </si>
  <si>
    <t>Month</t>
  </si>
  <si>
    <t>Commission</t>
  </si>
  <si>
    <t>Premium</t>
  </si>
  <si>
    <t>S/N</t>
  </si>
  <si>
    <t>ID</t>
  </si>
  <si>
    <t>Client</t>
  </si>
  <si>
    <t>Type</t>
  </si>
  <si>
    <t>October</t>
  </si>
  <si>
    <t>DECA0104510A</t>
  </si>
  <si>
    <t>Eleanor Ogunsowobo</t>
  </si>
  <si>
    <t>Property</t>
  </si>
  <si>
    <t>November</t>
  </si>
  <si>
    <t>DECA0114610A</t>
  </si>
  <si>
    <t>Jaena Ayodele</t>
  </si>
  <si>
    <t>Aviation</t>
  </si>
  <si>
    <t>December</t>
  </si>
  <si>
    <t>DECA0124710A</t>
  </si>
  <si>
    <t>Summer Naomi</t>
  </si>
  <si>
    <t>DECA0134810A</t>
  </si>
  <si>
    <t>Jasmine Alaka</t>
  </si>
  <si>
    <t>DECA0144910A</t>
  </si>
  <si>
    <t>Chikezie Badru</t>
  </si>
  <si>
    <t>DECA0155010A</t>
  </si>
  <si>
    <t>Gabriella Odumosu</t>
  </si>
  <si>
    <t>Motor</t>
  </si>
  <si>
    <t>COUNTIF</t>
  </si>
  <si>
    <t>Count</t>
  </si>
  <si>
    <t>DECA0165110A</t>
  </si>
  <si>
    <t>Melody Okpeki</t>
  </si>
  <si>
    <t>Marine</t>
  </si>
  <si>
    <t>DECA0175210A</t>
  </si>
  <si>
    <t>Keshinro Abdulhakeem</t>
  </si>
  <si>
    <t>DECA0185310A</t>
  </si>
  <si>
    <t>Jacey Badra</t>
  </si>
  <si>
    <t>DECA0195410A</t>
  </si>
  <si>
    <t>Linda Atiku</t>
  </si>
  <si>
    <t>Life</t>
  </si>
  <si>
    <t>DECA0205510A</t>
  </si>
  <si>
    <t>Odubote Hadly</t>
  </si>
  <si>
    <t>DECA0215610A</t>
  </si>
  <si>
    <t>Madison Rasheed</t>
  </si>
  <si>
    <t>Calculate the total Premium Per Month for each insurance type</t>
  </si>
  <si>
    <t>Calculate the total Commission Per Month for each insurance type</t>
  </si>
  <si>
    <t>DECA0225710A</t>
  </si>
  <si>
    <t>Raufu Oridupa</t>
  </si>
  <si>
    <t>DECA0235810A</t>
  </si>
  <si>
    <t>Musa Oni</t>
  </si>
  <si>
    <t>SUMIFS - Premium</t>
  </si>
  <si>
    <t>Months</t>
  </si>
  <si>
    <t>SUMIFS - Commission</t>
  </si>
  <si>
    <t>DECA0245910A</t>
  </si>
  <si>
    <t>Kimberly Marina</t>
  </si>
  <si>
    <t>DECA0256010A</t>
  </si>
  <si>
    <t>Mufutau Alayaki</t>
  </si>
  <si>
    <t>DECA0266110A</t>
  </si>
  <si>
    <t>Akinola Owolabi</t>
  </si>
  <si>
    <t>DECA0276210A</t>
  </si>
  <si>
    <t>Bamidele Nwejike</t>
  </si>
  <si>
    <t>DECA0286310A</t>
  </si>
  <si>
    <t>Alabi Jordan</t>
  </si>
  <si>
    <t>DECA0296410A</t>
  </si>
  <si>
    <t>Adebare Emily</t>
  </si>
  <si>
    <t>DECA0306510A</t>
  </si>
  <si>
    <t>Meshack Alayaki</t>
  </si>
  <si>
    <t>DECA0316610A</t>
  </si>
  <si>
    <t>Olaide Rasheedat</t>
  </si>
  <si>
    <t>Health</t>
  </si>
  <si>
    <t>DECA0326710A</t>
  </si>
  <si>
    <t>Candy Ligali</t>
  </si>
  <si>
    <t>DECA0336810A</t>
  </si>
  <si>
    <t>Cappi Jacob</t>
  </si>
  <si>
    <t>DECA0346910A</t>
  </si>
  <si>
    <t>Nkech Claire</t>
  </si>
  <si>
    <t>DECA0357010A</t>
  </si>
  <si>
    <t>Jaena Ewuyemi</t>
  </si>
  <si>
    <t>DECA0367110A</t>
  </si>
  <si>
    <t>Hammed Nicole</t>
  </si>
  <si>
    <t>DECA0377210A</t>
  </si>
  <si>
    <t>Ash Peter</t>
  </si>
  <si>
    <t>DECA0387310A</t>
  </si>
  <si>
    <t>Adelana Abiodun</t>
  </si>
  <si>
    <t>DECA0397410A</t>
  </si>
  <si>
    <t>Alexandra Opayemi</t>
  </si>
  <si>
    <t>DECA0407510A</t>
  </si>
  <si>
    <t>Harmony Ehindero</t>
  </si>
  <si>
    <t>DECA0417610A</t>
  </si>
  <si>
    <t>Iginlagbagbe Owolabi</t>
  </si>
  <si>
    <t>DECA0427710A</t>
  </si>
  <si>
    <t>Alice Esther</t>
  </si>
  <si>
    <t>DECA0437810A</t>
  </si>
  <si>
    <t>Everly Obi</t>
  </si>
  <si>
    <t>DECA0447910A</t>
  </si>
  <si>
    <t>Agboola Badmus</t>
  </si>
  <si>
    <t>DECA0458010A</t>
  </si>
  <si>
    <t>Sadie Idama</t>
  </si>
  <si>
    <t>DECA0468110A</t>
  </si>
  <si>
    <t>Ariel Femi</t>
  </si>
  <si>
    <t>DECA0478210A</t>
  </si>
  <si>
    <t>Basirat Ajayi</t>
  </si>
  <si>
    <t>DECA0488310A</t>
  </si>
  <si>
    <t>Maisie Ayo</t>
  </si>
  <si>
    <t>DECA0498410A</t>
  </si>
  <si>
    <t>Akintunde Lucy</t>
  </si>
  <si>
    <t>DECA0508510A</t>
  </si>
  <si>
    <t>Anya Safiriyu</t>
  </si>
  <si>
    <t>DECA0518610A</t>
  </si>
  <si>
    <t>Julia Johnbull</t>
  </si>
  <si>
    <t>DECA0528710A</t>
  </si>
  <si>
    <t>Osita Olabisi</t>
  </si>
  <si>
    <t>DECA0538810A</t>
  </si>
  <si>
    <t>Adebowale Owolegbon</t>
  </si>
  <si>
    <t>DECA0548910A</t>
  </si>
  <si>
    <t>Anna Naomi</t>
  </si>
  <si>
    <t>DECA0559010A</t>
  </si>
  <si>
    <t>Muhideen Bakare</t>
  </si>
  <si>
    <t>DECA0569110A</t>
  </si>
  <si>
    <t>Emery Ayodele</t>
  </si>
  <si>
    <t>DECA0579210A</t>
  </si>
  <si>
    <t>Okenla Ijeoma</t>
  </si>
  <si>
    <t>DECA0589310A</t>
  </si>
  <si>
    <t>Daisy Afolabi</t>
  </si>
  <si>
    <t>DECA0599410A</t>
  </si>
  <si>
    <t>Sulaimon Oluwafemi</t>
  </si>
  <si>
    <t>NESTED IF</t>
  </si>
  <si>
    <t>Recruitment Test Result</t>
  </si>
  <si>
    <t>Weekly Staff Log</t>
  </si>
  <si>
    <t>Pension %</t>
  </si>
  <si>
    <t>Applicants</t>
  </si>
  <si>
    <t>Test Score</t>
  </si>
  <si>
    <t>Status</t>
  </si>
  <si>
    <t>Staff Name</t>
  </si>
  <si>
    <t>Time In</t>
  </si>
  <si>
    <t>Resumption Time</t>
  </si>
  <si>
    <t>Memphis Ore</t>
  </si>
  <si>
    <t>Chima Oyebanji</t>
  </si>
  <si>
    <t>Obi Frank</t>
  </si>
  <si>
    <t>Alis Peter</t>
  </si>
  <si>
    <t>Ade Peter</t>
  </si>
  <si>
    <t>Akintunde Ikhilae</t>
  </si>
  <si>
    <t>Rodrick Seyi</t>
  </si>
  <si>
    <t>Raufu Lekan</t>
  </si>
  <si>
    <t>James Alex</t>
  </si>
  <si>
    <t>Linda Nicole</t>
  </si>
  <si>
    <t>Badmus Kelvin</t>
  </si>
  <si>
    <t>Tailat Sule</t>
  </si>
  <si>
    <t>Shade Dwayne</t>
  </si>
  <si>
    <t>Elysha Okin</t>
  </si>
  <si>
    <t>Allan Victor</t>
  </si>
  <si>
    <t>Adebare Lucy</t>
  </si>
  <si>
    <t>Mensah Gerald</t>
  </si>
  <si>
    <t>Omodia Yemi</t>
  </si>
  <si>
    <t>AND</t>
  </si>
  <si>
    <t>OR</t>
  </si>
  <si>
    <t>Student Name</t>
  </si>
  <si>
    <t>Listening</t>
  </si>
  <si>
    <t>Speaking</t>
  </si>
  <si>
    <t>Remarks</t>
  </si>
  <si>
    <t>William</t>
  </si>
  <si>
    <t>Ella</t>
  </si>
  <si>
    <t>Joy</t>
  </si>
  <si>
    <t>Ese</t>
  </si>
  <si>
    <t>Avery</t>
  </si>
  <si>
    <t>Evelyn</t>
  </si>
  <si>
    <t>Ali</t>
  </si>
  <si>
    <t>Nonso</t>
  </si>
  <si>
    <t>Okoro</t>
  </si>
  <si>
    <t>Bisola</t>
  </si>
  <si>
    <t>Adamu</t>
  </si>
  <si>
    <t>Approved By</t>
  </si>
  <si>
    <t>Olayinka Frank</t>
  </si>
  <si>
    <t>Assistant Manager</t>
  </si>
  <si>
    <t>Adeniyi Badmus</t>
  </si>
  <si>
    <t>January Expenses</t>
  </si>
  <si>
    <t>Movie Sales</t>
  </si>
  <si>
    <t>Date</t>
  </si>
  <si>
    <t>Item Description</t>
  </si>
  <si>
    <t>Category</t>
  </si>
  <si>
    <t>Amount</t>
  </si>
  <si>
    <t>Movie</t>
  </si>
  <si>
    <t>2 shirts and 4 trousers</t>
  </si>
  <si>
    <t>Shanty Town</t>
  </si>
  <si>
    <t>Gym subscription</t>
  </si>
  <si>
    <t>Blood &amp; Water</t>
  </si>
  <si>
    <t>Lunch at Buzz</t>
  </si>
  <si>
    <t>Ginny &amp; Georgia</t>
  </si>
  <si>
    <t>Coffee at Buzz</t>
  </si>
  <si>
    <t>The Wait</t>
  </si>
  <si>
    <t>Grocery shopping</t>
  </si>
  <si>
    <t>10Alytics Training</t>
  </si>
  <si>
    <t>Microsoft Office Purchase</t>
  </si>
  <si>
    <t>Night at club</t>
  </si>
  <si>
    <t>Lunch at Chicken Republic</t>
  </si>
  <si>
    <t>Breakfast at KFC</t>
  </si>
  <si>
    <t>McDonald's brunch</t>
  </si>
  <si>
    <t>Tennis Racket</t>
  </si>
  <si>
    <t>Coffee at Starbucks</t>
  </si>
  <si>
    <t>Petrol for car</t>
  </si>
  <si>
    <t>Emails</t>
  </si>
  <si>
    <t>Initials</t>
  </si>
  <si>
    <t>First Name</t>
  </si>
  <si>
    <t>Last Name</t>
  </si>
  <si>
    <t>Year</t>
  </si>
  <si>
    <t>Day</t>
  </si>
  <si>
    <t>Deena Doyin</t>
  </si>
  <si>
    <t>Caroline Karimu</t>
  </si>
  <si>
    <t>Bety Ayinde</t>
  </si>
  <si>
    <t>Akapo Elizabeth</t>
  </si>
  <si>
    <t>Megan Benjamin</t>
  </si>
  <si>
    <t>Deborah Okon</t>
  </si>
  <si>
    <t>Melanie Adia</t>
  </si>
  <si>
    <t>Lily Adeyekun</t>
  </si>
  <si>
    <t>Hannah Taibat</t>
  </si>
  <si>
    <t>Aboriota Reuben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</si>
</sst>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0"/>
      <name val="Calibri"/>
    </font>
    <font>
      <sz val="1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0"/>
      <name val="Calibri"/>
    </font>
    <font>
      <b/>
      <sz val="11"/>
      <color theme="0"/>
      <name val="Calibri"/>
    </font>
    <font>
      <b/>
      <sz val="16"/>
      <color theme="0"/>
      <name val="Calibri"/>
    </font>
    <font>
      <b/>
      <sz val="10"/>
      <color theme="0"/>
      <name val="Calibri"/>
    </font>
    <font>
      <sz val="16"/>
      <color theme="0"/>
      <name val="Calibri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E7E6E6"/>
        <bgColor rgb="FFE7E6E6"/>
      </patternFill>
    </fill>
    <fill>
      <patternFill patternType="solid">
        <fgColor rgb="FF548135"/>
        <bgColor rgb="FF548135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0" xfId="0" applyFont="1"/>
    <xf numFmtId="0" fontId="4" fillId="3" borderId="4" xfId="0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43" fontId="1" fillId="0" borderId="4" xfId="0" applyNumberFormat="1" applyFont="1" applyBorder="1"/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" fillId="0" borderId="9" xfId="0" applyFont="1" applyBorder="1"/>
    <xf numFmtId="14" fontId="1" fillId="0" borderId="4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6" fillId="2" borderId="4" xfId="0" applyFont="1" applyFill="1" applyBorder="1"/>
    <xf numFmtId="0" fontId="6" fillId="2" borderId="9" xfId="0" applyFont="1" applyFill="1" applyBorder="1"/>
    <xf numFmtId="43" fontId="1" fillId="0" borderId="9" xfId="0" applyNumberFormat="1" applyFont="1" applyBorder="1"/>
    <xf numFmtId="43" fontId="1" fillId="0" borderId="11" xfId="0" applyNumberFormat="1" applyFont="1" applyBorder="1"/>
    <xf numFmtId="43" fontId="1" fillId="0" borderId="12" xfId="0" applyNumberFormat="1" applyFont="1" applyBorder="1"/>
    <xf numFmtId="0" fontId="9" fillId="4" borderId="4" xfId="0" applyFont="1" applyFill="1" applyBorder="1" applyAlignment="1">
      <alignment horizontal="center"/>
    </xf>
    <xf numFmtId="0" fontId="1" fillId="5" borderId="4" xfId="0" applyFont="1" applyFill="1" applyBorder="1"/>
    <xf numFmtId="20" fontId="1" fillId="0" borderId="4" xfId="0" applyNumberFormat="1" applyFont="1" applyBorder="1"/>
    <xf numFmtId="43" fontId="1" fillId="0" borderId="0" xfId="0" applyNumberFormat="1" applyFont="1"/>
    <xf numFmtId="0" fontId="8" fillId="4" borderId="2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7" fillId="2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8" xfId="0" applyFont="1" applyBorder="1"/>
    <xf numFmtId="0" fontId="3" fillId="0" borderId="19" xfId="0" applyFont="1" applyBorder="1"/>
    <xf numFmtId="0" fontId="6" fillId="2" borderId="20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10" xfId="0" applyFont="1" applyBorder="1"/>
    <xf numFmtId="0" fontId="2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/>
    <xf numFmtId="0" fontId="8" fillId="4" borderId="21" xfId="0" applyFont="1" applyFill="1" applyBorder="1" applyAlignment="1">
      <alignment horizontal="center"/>
    </xf>
    <xf numFmtId="0" fontId="3" fillId="0" borderId="22" xfId="0" applyFont="1" applyBorder="1"/>
    <xf numFmtId="0" fontId="1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0" workbookViewId="0">
      <selection activeCell="N10" sqref="N10"/>
    </sheetView>
  </sheetViews>
  <sheetFormatPr defaultColWidth="14.453125" defaultRowHeight="15" customHeight="1" x14ac:dyDescent="0.35"/>
  <cols>
    <col min="1" max="1" width="8.7265625" customWidth="1"/>
    <col min="2" max="2" width="8.08984375" customWidth="1"/>
    <col min="3" max="3" width="15.453125" customWidth="1"/>
    <col min="4" max="4" width="8.54296875" customWidth="1"/>
    <col min="5" max="5" width="4.54296875" customWidth="1"/>
    <col min="6" max="6" width="15.26953125" customWidth="1"/>
    <col min="7" max="9" width="13.54296875" customWidth="1"/>
    <col min="10" max="11" width="8.7265625" customWidth="1"/>
    <col min="12" max="12" width="12.08984375" customWidth="1"/>
    <col min="13" max="13" width="12.453125" customWidth="1"/>
    <col min="14" max="14" width="11" customWidth="1"/>
    <col min="15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45">
      <c r="A3" s="1"/>
      <c r="B3" s="26" t="s">
        <v>0</v>
      </c>
      <c r="C3" s="27"/>
      <c r="D3" s="27"/>
      <c r="E3" s="27"/>
      <c r="F3" s="27"/>
      <c r="G3" s="27"/>
      <c r="H3" s="27"/>
      <c r="I3" s="28"/>
      <c r="J3" s="1"/>
      <c r="K3" s="1"/>
      <c r="L3" s="26" t="s">
        <v>1</v>
      </c>
      <c r="M3" s="27"/>
      <c r="N3" s="2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1"/>
      <c r="K4" s="1"/>
      <c r="L4" s="2"/>
      <c r="M4" s="2" t="s">
        <v>8</v>
      </c>
      <c r="N4" s="2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3" t="s">
        <v>10</v>
      </c>
      <c r="C5" s="3" t="s">
        <v>11</v>
      </c>
      <c r="D5" s="3" t="s">
        <v>12</v>
      </c>
      <c r="E5" s="4">
        <v>39</v>
      </c>
      <c r="F5" s="3" t="s">
        <v>13</v>
      </c>
      <c r="G5" s="3" t="s">
        <v>14</v>
      </c>
      <c r="H5" s="5">
        <v>455575.95039999997</v>
      </c>
      <c r="I5" s="5">
        <v>27334.557023999998</v>
      </c>
      <c r="J5" s="1"/>
      <c r="K5" s="1"/>
      <c r="L5" s="3" t="s">
        <v>15</v>
      </c>
      <c r="M5" s="5">
        <f>SUM(Salary)</f>
        <v>5573645.6996000009</v>
      </c>
      <c r="N5" s="5">
        <f>SUM(Tax)</f>
        <v>334418.74197599996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3" t="s">
        <v>16</v>
      </c>
      <c r="C6" s="3" t="s">
        <v>17</v>
      </c>
      <c r="D6" s="3" t="s">
        <v>18</v>
      </c>
      <c r="E6" s="4">
        <v>33</v>
      </c>
      <c r="F6" s="3" t="s">
        <v>13</v>
      </c>
      <c r="G6" s="3" t="s">
        <v>19</v>
      </c>
      <c r="H6" s="5">
        <v>264190.842</v>
      </c>
      <c r="I6" s="5">
        <v>15851.45052</v>
      </c>
      <c r="J6" s="1"/>
      <c r="K6" s="1"/>
      <c r="L6" s="3" t="s">
        <v>20</v>
      </c>
      <c r="M6" s="5">
        <f>MIN((Salary))</f>
        <v>105119.5168</v>
      </c>
      <c r="N6" s="3">
        <f>MIN(Tax)</f>
        <v>6307.1710079999993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3" t="s">
        <v>21</v>
      </c>
      <c r="C7" s="3" t="s">
        <v>22</v>
      </c>
      <c r="D7" s="3" t="s">
        <v>23</v>
      </c>
      <c r="E7" s="4">
        <v>25</v>
      </c>
      <c r="F7" s="3" t="s">
        <v>24</v>
      </c>
      <c r="G7" s="3" t="s">
        <v>25</v>
      </c>
      <c r="H7" s="5">
        <v>188525.0784</v>
      </c>
      <c r="I7" s="5">
        <v>11311.504703999999</v>
      </c>
      <c r="J7" s="1"/>
      <c r="K7" s="1"/>
      <c r="L7" s="3" t="s">
        <v>26</v>
      </c>
      <c r="M7" s="5">
        <f>MAX(Salary)</f>
        <v>491749.0024</v>
      </c>
      <c r="N7" s="3">
        <f>MAX(Tax)</f>
        <v>29504.940144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3" t="s">
        <v>27</v>
      </c>
      <c r="C8" s="3" t="s">
        <v>28</v>
      </c>
      <c r="D8" s="3" t="s">
        <v>29</v>
      </c>
      <c r="E8" s="4">
        <v>26</v>
      </c>
      <c r="F8" s="3" t="s">
        <v>30</v>
      </c>
      <c r="G8" s="3" t="s">
        <v>25</v>
      </c>
      <c r="H8" s="5">
        <v>105119.5168</v>
      </c>
      <c r="I8" s="5">
        <v>6307.1710079999993</v>
      </c>
      <c r="J8" s="1"/>
      <c r="K8" s="1"/>
      <c r="L8" s="3" t="s">
        <v>31</v>
      </c>
      <c r="M8" s="3">
        <f>COUNT(Salary)</f>
        <v>18</v>
      </c>
      <c r="N8" s="3">
        <f>COUNT(Salary)</f>
        <v>18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3" t="s">
        <v>32</v>
      </c>
      <c r="C9" s="3" t="s">
        <v>33</v>
      </c>
      <c r="D9" s="3" t="s">
        <v>34</v>
      </c>
      <c r="E9" s="4">
        <v>41</v>
      </c>
      <c r="F9" s="3" t="s">
        <v>35</v>
      </c>
      <c r="G9" s="3" t="s">
        <v>36</v>
      </c>
      <c r="H9" s="5">
        <v>364156.2304</v>
      </c>
      <c r="I9" s="5">
        <v>21849.373823999998</v>
      </c>
      <c r="J9" s="1"/>
      <c r="K9" s="1"/>
      <c r="L9" s="3" t="s">
        <v>37</v>
      </c>
      <c r="M9" s="3">
        <f>COUNTA(Salary)</f>
        <v>18</v>
      </c>
      <c r="N9" s="3">
        <f>COUNTA(Salary)</f>
        <v>18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3" t="s">
        <v>38</v>
      </c>
      <c r="C10" s="3" t="s">
        <v>39</v>
      </c>
      <c r="D10" s="3" t="s">
        <v>40</v>
      </c>
      <c r="E10" s="4">
        <v>41</v>
      </c>
      <c r="F10" s="3" t="s">
        <v>41</v>
      </c>
      <c r="G10" s="3" t="s">
        <v>14</v>
      </c>
      <c r="H10" s="5">
        <v>491749.0024</v>
      </c>
      <c r="I10" s="5">
        <v>29504.940144</v>
      </c>
      <c r="J10" s="1"/>
      <c r="K10" s="1"/>
      <c r="L10" s="3" t="s">
        <v>42</v>
      </c>
      <c r="M10" s="3">
        <f>COUNTBLANK(Salary)</f>
        <v>0</v>
      </c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3" t="s">
        <v>43</v>
      </c>
      <c r="C11" s="3" t="s">
        <v>44</v>
      </c>
      <c r="D11" s="3" t="s">
        <v>18</v>
      </c>
      <c r="E11" s="4">
        <v>31</v>
      </c>
      <c r="F11" s="3" t="s">
        <v>45</v>
      </c>
      <c r="G11" s="3" t="s">
        <v>25</v>
      </c>
      <c r="H11" s="5">
        <v>131912.68280000001</v>
      </c>
      <c r="I11" s="5">
        <v>7914.7609680000005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3" t="s">
        <v>46</v>
      </c>
      <c r="C12" s="3" t="s">
        <v>47</v>
      </c>
      <c r="D12" s="3" t="s">
        <v>48</v>
      </c>
      <c r="E12" s="4">
        <v>43</v>
      </c>
      <c r="F12" s="3" t="s">
        <v>49</v>
      </c>
      <c r="G12" s="3" t="s">
        <v>19</v>
      </c>
      <c r="H12" s="5">
        <v>227691.7972</v>
      </c>
      <c r="I12" s="5">
        <v>13661.507831999999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3" t="s">
        <v>50</v>
      </c>
      <c r="C13" s="3" t="s">
        <v>51</v>
      </c>
      <c r="D13" s="3" t="s">
        <v>52</v>
      </c>
      <c r="E13" s="4">
        <v>44</v>
      </c>
      <c r="F13" s="3" t="s">
        <v>53</v>
      </c>
      <c r="G13" s="3" t="s">
        <v>36</v>
      </c>
      <c r="H13" s="5">
        <v>370608.25559999997</v>
      </c>
      <c r="I13" s="5">
        <v>22236.495335999996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3" t="s">
        <v>54</v>
      </c>
      <c r="C14" s="3" t="s">
        <v>55</v>
      </c>
      <c r="D14" s="3" t="s">
        <v>56</v>
      </c>
      <c r="E14" s="4">
        <v>43</v>
      </c>
      <c r="F14" s="3" t="s">
        <v>41</v>
      </c>
      <c r="G14" s="3" t="s">
        <v>14</v>
      </c>
      <c r="H14" s="5">
        <v>454589.87280000001</v>
      </c>
      <c r="I14" s="5">
        <v>27275.392368000001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3" t="s">
        <v>57</v>
      </c>
      <c r="C15" s="3" t="s">
        <v>58</v>
      </c>
      <c r="D15" s="3" t="s">
        <v>59</v>
      </c>
      <c r="E15" s="4">
        <v>39</v>
      </c>
      <c r="F15" s="3" t="s">
        <v>53</v>
      </c>
      <c r="G15" s="3" t="s">
        <v>36</v>
      </c>
      <c r="H15" s="5">
        <v>434186.97560000001</v>
      </c>
      <c r="I15" s="5">
        <v>26051.218536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3" t="s">
        <v>60</v>
      </c>
      <c r="C16" s="3" t="s">
        <v>61</v>
      </c>
      <c r="D16" s="3" t="s">
        <v>62</v>
      </c>
      <c r="E16" s="4">
        <v>30</v>
      </c>
      <c r="F16" s="3" t="s">
        <v>63</v>
      </c>
      <c r="G16" s="3" t="s">
        <v>19</v>
      </c>
      <c r="H16" s="5">
        <v>283979.21240000002</v>
      </c>
      <c r="I16" s="5">
        <v>17038.752744000001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3" t="s">
        <v>64</v>
      </c>
      <c r="C17" s="3" t="s">
        <v>65</v>
      </c>
      <c r="D17" s="3" t="s">
        <v>52</v>
      </c>
      <c r="E17" s="4">
        <v>42</v>
      </c>
      <c r="F17" s="3" t="s">
        <v>53</v>
      </c>
      <c r="G17" s="3" t="s">
        <v>36</v>
      </c>
      <c r="H17" s="5">
        <v>390256.91480000003</v>
      </c>
      <c r="I17" s="5">
        <v>23415.414887999999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3" t="s">
        <v>66</v>
      </c>
      <c r="C18" s="3" t="s">
        <v>67</v>
      </c>
      <c r="D18" s="3" t="s">
        <v>68</v>
      </c>
      <c r="E18" s="4">
        <v>31</v>
      </c>
      <c r="F18" s="3" t="s">
        <v>49</v>
      </c>
      <c r="G18" s="3" t="s">
        <v>19</v>
      </c>
      <c r="H18" s="5">
        <v>289098.9192</v>
      </c>
      <c r="I18" s="5">
        <v>17345.935151999998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3" t="s">
        <v>69</v>
      </c>
      <c r="C19" s="3" t="s">
        <v>70</v>
      </c>
      <c r="D19" s="3" t="s">
        <v>34</v>
      </c>
      <c r="E19" s="4">
        <v>39</v>
      </c>
      <c r="F19" s="3" t="s">
        <v>24</v>
      </c>
      <c r="G19" s="3" t="s">
        <v>25</v>
      </c>
      <c r="H19" s="5">
        <v>201912.0436</v>
      </c>
      <c r="I19" s="5">
        <v>12114.722615999999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"/>
      <c r="B20" s="3" t="s">
        <v>71</v>
      </c>
      <c r="C20" s="3" t="s">
        <v>72</v>
      </c>
      <c r="D20" s="3" t="s">
        <v>29</v>
      </c>
      <c r="E20" s="4">
        <v>22</v>
      </c>
      <c r="F20" s="3" t="s">
        <v>45</v>
      </c>
      <c r="G20" s="3" t="s">
        <v>25</v>
      </c>
      <c r="H20" s="5">
        <v>146343.43239999999</v>
      </c>
      <c r="I20" s="5">
        <v>8780.605943999999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3" t="s">
        <v>73</v>
      </c>
      <c r="C21" s="3" t="s">
        <v>74</v>
      </c>
      <c r="D21" s="3" t="s">
        <v>75</v>
      </c>
      <c r="E21" s="4">
        <v>42</v>
      </c>
      <c r="F21" s="3" t="s">
        <v>30</v>
      </c>
      <c r="G21" s="3" t="s">
        <v>36</v>
      </c>
      <c r="H21" s="5">
        <v>372195.69880000001</v>
      </c>
      <c r="I21" s="5">
        <v>22331.741927999999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3" t="s">
        <v>76</v>
      </c>
      <c r="C22" s="3" t="s">
        <v>77</v>
      </c>
      <c r="D22" s="3" t="s">
        <v>29</v>
      </c>
      <c r="E22" s="4">
        <v>37</v>
      </c>
      <c r="F22" s="3" t="s">
        <v>78</v>
      </c>
      <c r="G22" s="3" t="s">
        <v>36</v>
      </c>
      <c r="H22" s="5">
        <v>401553.27399999998</v>
      </c>
      <c r="I22" s="5">
        <v>24093.196439999996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B3:I3"/>
    <mergeCell ref="L3:N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B6" workbookViewId="0">
      <selection activeCell="N25" sqref="N25"/>
    </sheetView>
  </sheetViews>
  <sheetFormatPr defaultColWidth="14.453125" defaultRowHeight="15" customHeight="1" x14ac:dyDescent="0.35"/>
  <cols>
    <col min="1" max="2" width="8.7265625" customWidth="1"/>
    <col min="3" max="3" width="5" customWidth="1"/>
    <col min="4" max="4" width="10.26953125" customWidth="1"/>
    <col min="5" max="5" width="13.453125" customWidth="1"/>
    <col min="6" max="6" width="19.453125" customWidth="1"/>
    <col min="7" max="7" width="9.81640625" customWidth="1"/>
    <col min="8" max="8" width="16" customWidth="1"/>
    <col min="9" max="9" width="11" customWidth="1"/>
    <col min="10" max="12" width="8.7265625" customWidth="1"/>
    <col min="13" max="13" width="9.81640625" customWidth="1"/>
    <col min="14" max="15" width="12.453125" customWidth="1"/>
    <col min="16" max="16" width="11" customWidth="1"/>
    <col min="17" max="17" width="6.54296875" customWidth="1"/>
    <col min="18" max="18" width="9.26953125" customWidth="1"/>
    <col min="19" max="19" width="10.54296875" customWidth="1"/>
    <col min="20" max="20" width="9.81640625" customWidth="1"/>
    <col min="21" max="21" width="7.26953125" customWidth="1"/>
    <col min="22" max="22" width="9.26953125" customWidth="1"/>
    <col min="23" max="23" width="9.08984375" customWidth="1"/>
    <col min="24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36" t="s">
        <v>79</v>
      </c>
      <c r="D3" s="27"/>
      <c r="E3" s="27"/>
      <c r="F3" s="27"/>
      <c r="G3" s="27"/>
      <c r="H3" s="27"/>
      <c r="I3" s="28"/>
      <c r="J3" s="1"/>
      <c r="K3" s="1"/>
      <c r="L3" s="37" t="s">
        <v>80</v>
      </c>
      <c r="M3" s="6" t="s">
        <v>81</v>
      </c>
      <c r="N3" s="6" t="s">
        <v>82</v>
      </c>
      <c r="O3" s="7" t="s">
        <v>83</v>
      </c>
      <c r="P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8" t="s">
        <v>84</v>
      </c>
      <c r="D4" s="8" t="s">
        <v>81</v>
      </c>
      <c r="E4" s="8" t="s">
        <v>85</v>
      </c>
      <c r="F4" s="8" t="s">
        <v>86</v>
      </c>
      <c r="G4" s="8" t="s">
        <v>87</v>
      </c>
      <c r="H4" s="8" t="s">
        <v>82</v>
      </c>
      <c r="I4" s="8" t="s">
        <v>83</v>
      </c>
      <c r="J4" s="1"/>
      <c r="K4" s="1"/>
      <c r="L4" s="34"/>
      <c r="M4" s="3" t="s">
        <v>88</v>
      </c>
      <c r="N4" s="3">
        <f>SUMIF(Month, D5, H5:H54)</f>
        <v>78289</v>
      </c>
      <c r="O4" s="9">
        <f>SUMIF(Month, D5, Premium)</f>
        <v>4161532</v>
      </c>
      <c r="P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3">
        <v>1</v>
      </c>
      <c r="D5" s="10" t="s">
        <v>88</v>
      </c>
      <c r="E5" s="3" t="s">
        <v>89</v>
      </c>
      <c r="F5" s="3" t="s">
        <v>90</v>
      </c>
      <c r="G5" s="3" t="s">
        <v>91</v>
      </c>
      <c r="H5" s="5">
        <v>7292</v>
      </c>
      <c r="I5" s="5">
        <v>318355</v>
      </c>
      <c r="J5" s="1"/>
      <c r="K5" s="1"/>
      <c r="L5" s="34"/>
      <c r="M5" s="3" t="s">
        <v>92</v>
      </c>
      <c r="N5" s="3">
        <f>SUMIF(Month, D20, H5:H54)</f>
        <v>112312</v>
      </c>
      <c r="O5" s="9">
        <f>SUMIF(Month, D20, Premium)</f>
        <v>6834265</v>
      </c>
      <c r="P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3">
        <v>2</v>
      </c>
      <c r="D6" s="10" t="s">
        <v>88</v>
      </c>
      <c r="E6" s="3" t="s">
        <v>93</v>
      </c>
      <c r="F6" s="3" t="s">
        <v>94</v>
      </c>
      <c r="G6" s="3" t="s">
        <v>95</v>
      </c>
      <c r="H6" s="5">
        <v>6334</v>
      </c>
      <c r="I6" s="5">
        <v>334852</v>
      </c>
      <c r="J6" s="1"/>
      <c r="K6" s="1"/>
      <c r="L6" s="35"/>
      <c r="M6" s="11" t="s">
        <v>96</v>
      </c>
      <c r="N6" s="11">
        <f>SUMIF(Month, D47, Commision)</f>
        <v>33150</v>
      </c>
      <c r="O6" s="12">
        <f>SUMIF(Month,D47, Premium)</f>
        <v>1950452</v>
      </c>
      <c r="P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3">
        <v>3</v>
      </c>
      <c r="D7" s="10" t="s">
        <v>88</v>
      </c>
      <c r="E7" s="3" t="s">
        <v>97</v>
      </c>
      <c r="F7" s="3" t="s">
        <v>98</v>
      </c>
      <c r="G7" s="3" t="s">
        <v>53</v>
      </c>
      <c r="H7" s="5">
        <v>1583</v>
      </c>
      <c r="I7" s="5">
        <v>164629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3">
        <v>4</v>
      </c>
      <c r="D8" s="10" t="s">
        <v>88</v>
      </c>
      <c r="E8" s="3" t="s">
        <v>99</v>
      </c>
      <c r="F8" s="3" t="s">
        <v>100</v>
      </c>
      <c r="G8" s="3" t="s">
        <v>53</v>
      </c>
      <c r="H8" s="5">
        <v>3549</v>
      </c>
      <c r="I8" s="5">
        <v>364466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3">
        <v>5</v>
      </c>
      <c r="D9" s="10" t="s">
        <v>88</v>
      </c>
      <c r="E9" s="3" t="s">
        <v>101</v>
      </c>
      <c r="F9" s="3" t="s">
        <v>102</v>
      </c>
      <c r="G9" s="3" t="s">
        <v>53</v>
      </c>
      <c r="H9" s="5">
        <v>4303</v>
      </c>
      <c r="I9" s="5">
        <v>355847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3">
        <v>6</v>
      </c>
      <c r="D10" s="10" t="s">
        <v>88</v>
      </c>
      <c r="E10" s="3" t="s">
        <v>103</v>
      </c>
      <c r="F10" s="3" t="s">
        <v>104</v>
      </c>
      <c r="G10" s="3" t="s">
        <v>105</v>
      </c>
      <c r="H10" s="5">
        <v>6362</v>
      </c>
      <c r="I10" s="5">
        <v>375272</v>
      </c>
      <c r="J10" s="1"/>
      <c r="K10" s="1"/>
      <c r="L10" s="37" t="s">
        <v>106</v>
      </c>
      <c r="M10" s="6" t="s">
        <v>81</v>
      </c>
      <c r="N10" s="7" t="s">
        <v>107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3">
        <v>7</v>
      </c>
      <c r="D11" s="10" t="s">
        <v>88</v>
      </c>
      <c r="E11" s="3" t="s">
        <v>108</v>
      </c>
      <c r="F11" s="3" t="s">
        <v>109</v>
      </c>
      <c r="G11" s="3" t="s">
        <v>110</v>
      </c>
      <c r="H11" s="5">
        <v>7470</v>
      </c>
      <c r="I11" s="5">
        <v>427057</v>
      </c>
      <c r="J11" s="1"/>
      <c r="K11" s="1"/>
      <c r="L11" s="34"/>
      <c r="M11" s="3" t="s">
        <v>88</v>
      </c>
      <c r="N11" s="9">
        <f>COUNTIF(Month, D5)</f>
        <v>15</v>
      </c>
      <c r="O11" s="1">
        <f>COUNTIFS(Month, M11, Type, M20)</f>
        <v>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3">
        <v>8</v>
      </c>
      <c r="D12" s="10" t="s">
        <v>88</v>
      </c>
      <c r="E12" s="3" t="s">
        <v>111</v>
      </c>
      <c r="F12" s="3" t="s">
        <v>112</v>
      </c>
      <c r="G12" s="3" t="s">
        <v>91</v>
      </c>
      <c r="H12" s="5">
        <v>5932</v>
      </c>
      <c r="I12" s="5">
        <v>78854</v>
      </c>
      <c r="J12" s="1"/>
      <c r="K12" s="1"/>
      <c r="L12" s="34"/>
      <c r="M12" s="3" t="s">
        <v>92</v>
      </c>
      <c r="N12" s="9">
        <f>COUNTIF(Month, D20)</f>
        <v>27</v>
      </c>
      <c r="O12" s="1">
        <f>COUNTIFS(Month, M12, Type, M20)</f>
        <v>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3">
        <v>9</v>
      </c>
      <c r="D13" s="10" t="s">
        <v>88</v>
      </c>
      <c r="E13" s="3" t="s">
        <v>113</v>
      </c>
      <c r="F13" s="3" t="s">
        <v>114</v>
      </c>
      <c r="G13" s="3" t="s">
        <v>91</v>
      </c>
      <c r="H13" s="5">
        <v>2089</v>
      </c>
      <c r="I13" s="5">
        <v>256174</v>
      </c>
      <c r="J13" s="1"/>
      <c r="K13" s="1"/>
      <c r="L13" s="35"/>
      <c r="M13" s="11" t="s">
        <v>96</v>
      </c>
      <c r="N13" s="9">
        <f>COUNTIF(Month, D47)</f>
        <v>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3">
        <v>10</v>
      </c>
      <c r="D14" s="10" t="s">
        <v>88</v>
      </c>
      <c r="E14" s="3" t="s">
        <v>115</v>
      </c>
      <c r="F14" s="3" t="s">
        <v>116</v>
      </c>
      <c r="G14" s="3" t="s">
        <v>117</v>
      </c>
      <c r="H14" s="5">
        <v>8402</v>
      </c>
      <c r="I14" s="5">
        <v>248345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3">
        <v>11</v>
      </c>
      <c r="D15" s="10" t="s">
        <v>88</v>
      </c>
      <c r="E15" s="3" t="s">
        <v>118</v>
      </c>
      <c r="F15" s="3" t="s">
        <v>119</v>
      </c>
      <c r="G15" s="3" t="s">
        <v>91</v>
      </c>
      <c r="H15" s="5">
        <v>1907</v>
      </c>
      <c r="I15" s="5">
        <v>142358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1"/>
      <c r="C16" s="3">
        <v>12</v>
      </c>
      <c r="D16" s="10" t="s">
        <v>88</v>
      </c>
      <c r="E16" s="3" t="s">
        <v>120</v>
      </c>
      <c r="F16" s="3" t="s">
        <v>121</v>
      </c>
      <c r="G16" s="3" t="s">
        <v>110</v>
      </c>
      <c r="H16" s="5">
        <v>7546</v>
      </c>
      <c r="I16" s="5">
        <v>327420</v>
      </c>
      <c r="J16" s="1"/>
      <c r="K16" s="1"/>
      <c r="L16" s="1" t="s">
        <v>122</v>
      </c>
      <c r="M16" s="1"/>
      <c r="N16" s="1"/>
      <c r="O16" s="1"/>
      <c r="P16" s="1"/>
      <c r="Q16" s="1"/>
      <c r="R16" s="1"/>
      <c r="S16" s="1" t="s">
        <v>123</v>
      </c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3">
        <v>13</v>
      </c>
      <c r="D17" s="10" t="s">
        <v>88</v>
      </c>
      <c r="E17" s="3" t="s">
        <v>124</v>
      </c>
      <c r="F17" s="3" t="s">
        <v>125</v>
      </c>
      <c r="G17" s="3" t="s">
        <v>105</v>
      </c>
      <c r="H17" s="5">
        <v>8745</v>
      </c>
      <c r="I17" s="5">
        <v>351372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3">
        <v>14</v>
      </c>
      <c r="D18" s="10" t="s">
        <v>88</v>
      </c>
      <c r="E18" s="3" t="s">
        <v>126</v>
      </c>
      <c r="F18" s="3" t="s">
        <v>127</v>
      </c>
      <c r="G18" s="3" t="s">
        <v>110</v>
      </c>
      <c r="H18" s="5">
        <v>2716</v>
      </c>
      <c r="I18" s="5">
        <v>255445</v>
      </c>
      <c r="J18" s="1"/>
      <c r="K18" s="1"/>
      <c r="L18" s="29" t="s">
        <v>128</v>
      </c>
      <c r="M18" s="30"/>
      <c r="N18" s="38" t="s">
        <v>129</v>
      </c>
      <c r="O18" s="39"/>
      <c r="P18" s="40"/>
      <c r="Q18" s="1"/>
      <c r="R18" s="1"/>
      <c r="S18" s="29" t="s">
        <v>130</v>
      </c>
      <c r="T18" s="30"/>
      <c r="U18" s="38" t="s">
        <v>129</v>
      </c>
      <c r="V18" s="39"/>
      <c r="W18" s="40"/>
      <c r="X18" s="1"/>
      <c r="Y18" s="1"/>
      <c r="Z18" s="1"/>
    </row>
    <row r="19" spans="1:26" ht="14.25" customHeight="1" x14ac:dyDescent="0.35">
      <c r="A19" s="1"/>
      <c r="B19" s="1"/>
      <c r="C19" s="3">
        <v>15</v>
      </c>
      <c r="D19" s="10" t="s">
        <v>88</v>
      </c>
      <c r="E19" s="3" t="s">
        <v>131</v>
      </c>
      <c r="F19" s="3" t="s">
        <v>132</v>
      </c>
      <c r="G19" s="3" t="s">
        <v>95</v>
      </c>
      <c r="H19" s="5">
        <v>4059</v>
      </c>
      <c r="I19" s="5">
        <v>161086</v>
      </c>
      <c r="J19" s="1"/>
      <c r="K19" s="1"/>
      <c r="L19" s="31"/>
      <c r="M19" s="32"/>
      <c r="N19" s="13" t="s">
        <v>88</v>
      </c>
      <c r="O19" s="13" t="s">
        <v>92</v>
      </c>
      <c r="P19" s="14" t="s">
        <v>96</v>
      </c>
      <c r="Q19" s="1"/>
      <c r="R19" s="1"/>
      <c r="S19" s="31"/>
      <c r="T19" s="32"/>
      <c r="U19" s="13" t="s">
        <v>88</v>
      </c>
      <c r="V19" s="13" t="s">
        <v>92</v>
      </c>
      <c r="W19" s="14" t="s">
        <v>96</v>
      </c>
      <c r="X19" s="1"/>
      <c r="Y19" s="1"/>
      <c r="Z19" s="1"/>
    </row>
    <row r="20" spans="1:26" ht="14.25" customHeight="1" x14ac:dyDescent="0.35">
      <c r="A20" s="1"/>
      <c r="B20" s="1"/>
      <c r="C20" s="3">
        <v>16</v>
      </c>
      <c r="D20" s="10" t="s">
        <v>92</v>
      </c>
      <c r="E20" s="3" t="s">
        <v>133</v>
      </c>
      <c r="F20" s="3" t="s">
        <v>134</v>
      </c>
      <c r="G20" s="3" t="s">
        <v>53</v>
      </c>
      <c r="H20" s="5">
        <v>7240</v>
      </c>
      <c r="I20" s="5">
        <v>173889</v>
      </c>
      <c r="J20" s="1"/>
      <c r="K20" s="1"/>
      <c r="L20" s="33" t="s">
        <v>87</v>
      </c>
      <c r="M20" s="3" t="s">
        <v>91</v>
      </c>
      <c r="N20" s="5">
        <f>SUMIFS(Premium, Month, N19, Type, G5)</f>
        <v>795741</v>
      </c>
      <c r="O20" s="5"/>
      <c r="P20" s="15"/>
      <c r="Q20" s="1"/>
      <c r="R20" s="1"/>
      <c r="S20" s="33" t="s">
        <v>87</v>
      </c>
      <c r="T20" s="3" t="s">
        <v>91</v>
      </c>
      <c r="U20" s="5"/>
      <c r="V20" s="5"/>
      <c r="W20" s="15"/>
      <c r="X20" s="1"/>
      <c r="Y20" s="1"/>
      <c r="Z20" s="1"/>
    </row>
    <row r="21" spans="1:26" ht="14.25" customHeight="1" x14ac:dyDescent="0.35">
      <c r="A21" s="1"/>
      <c r="B21" s="1"/>
      <c r="C21" s="3">
        <v>17</v>
      </c>
      <c r="D21" s="10" t="s">
        <v>92</v>
      </c>
      <c r="E21" s="3" t="s">
        <v>135</v>
      </c>
      <c r="F21" s="3" t="s">
        <v>136</v>
      </c>
      <c r="G21" s="3" t="s">
        <v>95</v>
      </c>
      <c r="H21" s="5">
        <v>5219</v>
      </c>
      <c r="I21" s="5">
        <v>261151</v>
      </c>
      <c r="J21" s="1"/>
      <c r="K21" s="1"/>
      <c r="L21" s="34"/>
      <c r="M21" s="3" t="s">
        <v>95</v>
      </c>
      <c r="N21" s="5">
        <f>SUMIFS(Premium, Month,N19, Type, G6)</f>
        <v>495938</v>
      </c>
      <c r="O21" s="5"/>
      <c r="P21" s="15"/>
      <c r="Q21" s="1"/>
      <c r="R21" s="1"/>
      <c r="S21" s="34"/>
      <c r="T21" s="3" t="s">
        <v>95</v>
      </c>
      <c r="U21" s="5"/>
      <c r="V21" s="5"/>
      <c r="W21" s="15"/>
      <c r="X21" s="1"/>
      <c r="Y21" s="1"/>
      <c r="Z21" s="1"/>
    </row>
    <row r="22" spans="1:26" ht="14.25" customHeight="1" x14ac:dyDescent="0.35">
      <c r="A22" s="1"/>
      <c r="B22" s="1"/>
      <c r="C22" s="3">
        <v>18</v>
      </c>
      <c r="D22" s="10" t="s">
        <v>92</v>
      </c>
      <c r="E22" s="3" t="s">
        <v>137</v>
      </c>
      <c r="F22" s="3" t="s">
        <v>138</v>
      </c>
      <c r="G22" s="3" t="s">
        <v>53</v>
      </c>
      <c r="H22" s="5">
        <v>4912</v>
      </c>
      <c r="I22" s="5">
        <v>340480</v>
      </c>
      <c r="J22" s="1"/>
      <c r="K22" s="1"/>
      <c r="L22" s="34"/>
      <c r="M22" s="3" t="s">
        <v>53</v>
      </c>
      <c r="N22" s="5">
        <f>SUMIFS(Premium, Month,N19, Type, G7)</f>
        <v>884942</v>
      </c>
      <c r="O22" s="5"/>
      <c r="P22" s="15"/>
      <c r="Q22" s="1"/>
      <c r="R22" s="1"/>
      <c r="S22" s="34"/>
      <c r="T22" s="3" t="s">
        <v>53</v>
      </c>
      <c r="U22" s="5"/>
      <c r="V22" s="5"/>
      <c r="W22" s="15"/>
      <c r="X22" s="1"/>
      <c r="Y22" s="1"/>
      <c r="Z22" s="1"/>
    </row>
    <row r="23" spans="1:26" ht="14.25" customHeight="1" x14ac:dyDescent="0.35">
      <c r="A23" s="1"/>
      <c r="B23" s="1"/>
      <c r="C23" s="3">
        <v>19</v>
      </c>
      <c r="D23" s="10" t="s">
        <v>92</v>
      </c>
      <c r="E23" s="3" t="s">
        <v>139</v>
      </c>
      <c r="F23" s="3" t="s">
        <v>140</v>
      </c>
      <c r="G23" s="3" t="s">
        <v>105</v>
      </c>
      <c r="H23" s="5">
        <v>2517</v>
      </c>
      <c r="I23" s="5">
        <v>287246</v>
      </c>
      <c r="J23" s="1"/>
      <c r="K23" s="1"/>
      <c r="L23" s="34"/>
      <c r="M23" s="3" t="s">
        <v>105</v>
      </c>
      <c r="N23" s="5">
        <f>SUMIFS(Premium, Month,N19, Type, G10)</f>
        <v>726644</v>
      </c>
      <c r="O23" s="5"/>
      <c r="P23" s="15"/>
      <c r="Q23" s="1"/>
      <c r="R23" s="1"/>
      <c r="S23" s="34"/>
      <c r="T23" s="3" t="s">
        <v>105</v>
      </c>
      <c r="U23" s="5"/>
      <c r="V23" s="5"/>
      <c r="W23" s="15"/>
      <c r="X23" s="1"/>
      <c r="Y23" s="1"/>
      <c r="Z23" s="1"/>
    </row>
    <row r="24" spans="1:26" ht="14.25" customHeight="1" x14ac:dyDescent="0.35">
      <c r="A24" s="1"/>
      <c r="B24" s="1"/>
      <c r="C24" s="3">
        <v>20</v>
      </c>
      <c r="D24" s="10" t="s">
        <v>92</v>
      </c>
      <c r="E24" s="3" t="s">
        <v>141</v>
      </c>
      <c r="F24" s="3" t="s">
        <v>142</v>
      </c>
      <c r="G24" s="3" t="s">
        <v>117</v>
      </c>
      <c r="H24" s="5">
        <v>2620</v>
      </c>
      <c r="I24" s="5">
        <v>285945</v>
      </c>
      <c r="J24" s="1"/>
      <c r="K24" s="1"/>
      <c r="L24" s="34"/>
      <c r="M24" s="3" t="s">
        <v>110</v>
      </c>
      <c r="N24" s="5">
        <f>SUMIFS(Premium, Month,N19, Type, G11)</f>
        <v>1009922</v>
      </c>
      <c r="O24" s="5"/>
      <c r="P24" s="15"/>
      <c r="Q24" s="1"/>
      <c r="R24" s="1"/>
      <c r="S24" s="34"/>
      <c r="T24" s="3" t="s">
        <v>110</v>
      </c>
      <c r="U24" s="5"/>
      <c r="V24" s="5"/>
      <c r="W24" s="15"/>
      <c r="X24" s="1"/>
      <c r="Y24" s="1"/>
      <c r="Z24" s="1"/>
    </row>
    <row r="25" spans="1:26" ht="14.25" customHeight="1" x14ac:dyDescent="0.35">
      <c r="A25" s="1"/>
      <c r="B25" s="1"/>
      <c r="C25" s="3">
        <v>21</v>
      </c>
      <c r="D25" s="10" t="s">
        <v>92</v>
      </c>
      <c r="E25" s="3" t="s">
        <v>143</v>
      </c>
      <c r="F25" s="3" t="s">
        <v>144</v>
      </c>
      <c r="G25" s="3" t="s">
        <v>53</v>
      </c>
      <c r="H25" s="5">
        <v>1021</v>
      </c>
      <c r="I25" s="5">
        <v>388243</v>
      </c>
      <c r="J25" s="1"/>
      <c r="K25" s="1"/>
      <c r="L25" s="34"/>
      <c r="M25" s="3" t="s">
        <v>117</v>
      </c>
      <c r="N25" s="5">
        <f>SUMIFS(Premium, Month,N19, Type, G14)</f>
        <v>248345</v>
      </c>
      <c r="O25" s="5"/>
      <c r="P25" s="15"/>
      <c r="Q25" s="1"/>
      <c r="R25" s="1"/>
      <c r="S25" s="34"/>
      <c r="T25" s="3" t="s">
        <v>117</v>
      </c>
      <c r="U25" s="5"/>
      <c r="V25" s="5"/>
      <c r="W25" s="15"/>
      <c r="X25" s="1"/>
      <c r="Y25" s="1"/>
      <c r="Z25" s="1"/>
    </row>
    <row r="26" spans="1:26" ht="14.25" customHeight="1" x14ac:dyDescent="0.35">
      <c r="A26" s="1"/>
      <c r="B26" s="1"/>
      <c r="C26" s="3">
        <v>22</v>
      </c>
      <c r="D26" s="10" t="s">
        <v>92</v>
      </c>
      <c r="E26" s="3" t="s">
        <v>145</v>
      </c>
      <c r="F26" s="3" t="s">
        <v>146</v>
      </c>
      <c r="G26" s="3" t="s">
        <v>105</v>
      </c>
      <c r="H26" s="5">
        <v>4870</v>
      </c>
      <c r="I26" s="5">
        <v>344278</v>
      </c>
      <c r="J26" s="1"/>
      <c r="K26" s="1"/>
      <c r="L26" s="35"/>
      <c r="M26" s="11" t="s">
        <v>147</v>
      </c>
      <c r="N26" s="5">
        <f>SUMIFS(Premium, Month,N19, Type, M26)</f>
        <v>0</v>
      </c>
      <c r="O26" s="16"/>
      <c r="P26" s="17"/>
      <c r="Q26" s="1"/>
      <c r="R26" s="1"/>
      <c r="S26" s="35"/>
      <c r="T26" s="11" t="s">
        <v>147</v>
      </c>
      <c r="U26" s="16"/>
      <c r="V26" s="16"/>
      <c r="W26" s="17"/>
      <c r="X26" s="1"/>
      <c r="Y26" s="1"/>
      <c r="Z26" s="1"/>
    </row>
    <row r="27" spans="1:26" ht="14.25" customHeight="1" x14ac:dyDescent="0.35">
      <c r="A27" s="1"/>
      <c r="B27" s="1"/>
      <c r="C27" s="3">
        <v>23</v>
      </c>
      <c r="D27" s="10" t="s">
        <v>92</v>
      </c>
      <c r="E27" s="3" t="s">
        <v>148</v>
      </c>
      <c r="F27" s="3" t="s">
        <v>149</v>
      </c>
      <c r="G27" s="3" t="s">
        <v>53</v>
      </c>
      <c r="H27" s="5">
        <v>1019</v>
      </c>
      <c r="I27" s="5">
        <v>346685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3">
        <v>24</v>
      </c>
      <c r="D28" s="10" t="s">
        <v>92</v>
      </c>
      <c r="E28" s="3" t="s">
        <v>150</v>
      </c>
      <c r="F28" s="3" t="s">
        <v>151</v>
      </c>
      <c r="G28" s="3" t="s">
        <v>147</v>
      </c>
      <c r="H28" s="5">
        <v>3091</v>
      </c>
      <c r="I28" s="5">
        <v>341037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3">
        <v>25</v>
      </c>
      <c r="D29" s="10" t="s">
        <v>92</v>
      </c>
      <c r="E29" s="3" t="s">
        <v>152</v>
      </c>
      <c r="F29" s="3" t="s">
        <v>153</v>
      </c>
      <c r="G29" s="3" t="s">
        <v>147</v>
      </c>
      <c r="H29" s="5">
        <v>4786</v>
      </c>
      <c r="I29" s="5">
        <v>195572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3">
        <v>26</v>
      </c>
      <c r="D30" s="10" t="s">
        <v>92</v>
      </c>
      <c r="E30" s="3" t="s">
        <v>154</v>
      </c>
      <c r="F30" s="3" t="s">
        <v>155</v>
      </c>
      <c r="G30" s="3" t="s">
        <v>105</v>
      </c>
      <c r="H30" s="5">
        <v>6732</v>
      </c>
      <c r="I30" s="5">
        <v>242166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3">
        <v>27</v>
      </c>
      <c r="D31" s="10" t="s">
        <v>92</v>
      </c>
      <c r="E31" s="3" t="s">
        <v>156</v>
      </c>
      <c r="F31" s="3" t="s">
        <v>157</v>
      </c>
      <c r="G31" s="3" t="s">
        <v>95</v>
      </c>
      <c r="H31" s="5">
        <v>5268</v>
      </c>
      <c r="I31" s="5">
        <v>198420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3">
        <v>28</v>
      </c>
      <c r="D32" s="10" t="s">
        <v>92</v>
      </c>
      <c r="E32" s="3" t="s">
        <v>158</v>
      </c>
      <c r="F32" s="3" t="s">
        <v>159</v>
      </c>
      <c r="G32" s="3" t="s">
        <v>147</v>
      </c>
      <c r="H32" s="5">
        <v>1297</v>
      </c>
      <c r="I32" s="5">
        <v>217169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3">
        <v>29</v>
      </c>
      <c r="D33" s="10" t="s">
        <v>92</v>
      </c>
      <c r="E33" s="3" t="s">
        <v>160</v>
      </c>
      <c r="F33" s="3" t="s">
        <v>161</v>
      </c>
      <c r="G33" s="3" t="s">
        <v>110</v>
      </c>
      <c r="H33" s="5">
        <v>8358</v>
      </c>
      <c r="I33" s="5">
        <v>165617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3">
        <v>30</v>
      </c>
      <c r="D34" s="10" t="s">
        <v>92</v>
      </c>
      <c r="E34" s="3" t="s">
        <v>162</v>
      </c>
      <c r="F34" s="3" t="s">
        <v>163</v>
      </c>
      <c r="G34" s="3" t="s">
        <v>91</v>
      </c>
      <c r="H34" s="5">
        <v>4948</v>
      </c>
      <c r="I34" s="5">
        <v>189628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3">
        <v>31</v>
      </c>
      <c r="D35" s="10" t="s">
        <v>92</v>
      </c>
      <c r="E35" s="3" t="s">
        <v>164</v>
      </c>
      <c r="F35" s="3" t="s">
        <v>165</v>
      </c>
      <c r="G35" s="3" t="s">
        <v>91</v>
      </c>
      <c r="H35" s="5">
        <v>2106</v>
      </c>
      <c r="I35" s="5">
        <v>121882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3">
        <v>32</v>
      </c>
      <c r="D36" s="10" t="s">
        <v>92</v>
      </c>
      <c r="E36" s="3" t="s">
        <v>166</v>
      </c>
      <c r="F36" s="3" t="s">
        <v>167</v>
      </c>
      <c r="G36" s="3" t="s">
        <v>95</v>
      </c>
      <c r="H36" s="5">
        <v>3856</v>
      </c>
      <c r="I36" s="5">
        <v>273975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3">
        <v>33</v>
      </c>
      <c r="D37" s="10" t="s">
        <v>92</v>
      </c>
      <c r="E37" s="3" t="s">
        <v>168</v>
      </c>
      <c r="F37" s="3" t="s">
        <v>169</v>
      </c>
      <c r="G37" s="3" t="s">
        <v>147</v>
      </c>
      <c r="H37" s="5">
        <v>1421</v>
      </c>
      <c r="I37" s="5">
        <v>224311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3">
        <v>34</v>
      </c>
      <c r="D38" s="10" t="s">
        <v>92</v>
      </c>
      <c r="E38" s="3" t="s">
        <v>170</v>
      </c>
      <c r="F38" s="3" t="s">
        <v>171</v>
      </c>
      <c r="G38" s="3" t="s">
        <v>110</v>
      </c>
      <c r="H38" s="5">
        <v>7536</v>
      </c>
      <c r="I38" s="5">
        <v>153924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3">
        <v>35</v>
      </c>
      <c r="D39" s="10" t="s">
        <v>92</v>
      </c>
      <c r="E39" s="3" t="s">
        <v>172</v>
      </c>
      <c r="F39" s="3" t="s">
        <v>173</v>
      </c>
      <c r="G39" s="3" t="s">
        <v>147</v>
      </c>
      <c r="H39" s="5">
        <v>1152</v>
      </c>
      <c r="I39" s="5">
        <v>225960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3">
        <v>36</v>
      </c>
      <c r="D40" s="10" t="s">
        <v>92</v>
      </c>
      <c r="E40" s="3" t="s">
        <v>174</v>
      </c>
      <c r="F40" s="3" t="s">
        <v>175</v>
      </c>
      <c r="G40" s="3" t="s">
        <v>117</v>
      </c>
      <c r="H40" s="5">
        <v>2148</v>
      </c>
      <c r="I40" s="5">
        <v>294654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3">
        <v>37</v>
      </c>
      <c r="D41" s="10" t="s">
        <v>92</v>
      </c>
      <c r="E41" s="3" t="s">
        <v>176</v>
      </c>
      <c r="F41" s="3" t="s">
        <v>177</v>
      </c>
      <c r="G41" s="3" t="s">
        <v>147</v>
      </c>
      <c r="H41" s="5">
        <v>3608</v>
      </c>
      <c r="I41" s="5">
        <v>104463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3">
        <v>38</v>
      </c>
      <c r="D42" s="10" t="s">
        <v>92</v>
      </c>
      <c r="E42" s="3" t="s">
        <v>178</v>
      </c>
      <c r="F42" s="3" t="s">
        <v>179</v>
      </c>
      <c r="G42" s="3" t="s">
        <v>147</v>
      </c>
      <c r="H42" s="5">
        <v>7969</v>
      </c>
      <c r="I42" s="5">
        <v>170062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3">
        <v>39</v>
      </c>
      <c r="D43" s="10" t="s">
        <v>92</v>
      </c>
      <c r="E43" s="3" t="s">
        <v>180</v>
      </c>
      <c r="F43" s="3" t="s">
        <v>181</v>
      </c>
      <c r="G43" s="3" t="s">
        <v>117</v>
      </c>
      <c r="H43" s="5">
        <v>1187</v>
      </c>
      <c r="I43" s="5">
        <v>220934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3">
        <v>40</v>
      </c>
      <c r="D44" s="10" t="s">
        <v>92</v>
      </c>
      <c r="E44" s="3" t="s">
        <v>182</v>
      </c>
      <c r="F44" s="3" t="s">
        <v>183</v>
      </c>
      <c r="G44" s="3" t="s">
        <v>53</v>
      </c>
      <c r="H44" s="5">
        <v>6096</v>
      </c>
      <c r="I44" s="5">
        <v>371073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3">
        <v>41</v>
      </c>
      <c r="D45" s="10" t="s">
        <v>92</v>
      </c>
      <c r="E45" s="3" t="s">
        <v>184</v>
      </c>
      <c r="F45" s="3" t="s">
        <v>185</v>
      </c>
      <c r="G45" s="3" t="s">
        <v>53</v>
      </c>
      <c r="H45" s="5">
        <v>6904</v>
      </c>
      <c r="I45" s="5">
        <v>334101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3">
        <v>42</v>
      </c>
      <c r="D46" s="10" t="s">
        <v>92</v>
      </c>
      <c r="E46" s="3" t="s">
        <v>186</v>
      </c>
      <c r="F46" s="3" t="s">
        <v>187</v>
      </c>
      <c r="G46" s="3" t="s">
        <v>117</v>
      </c>
      <c r="H46" s="5">
        <v>4431</v>
      </c>
      <c r="I46" s="5">
        <v>361400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3">
        <v>43</v>
      </c>
      <c r="D47" s="10" t="s">
        <v>96</v>
      </c>
      <c r="E47" s="3" t="s">
        <v>188</v>
      </c>
      <c r="F47" s="3" t="s">
        <v>189</v>
      </c>
      <c r="G47" s="3" t="s">
        <v>105</v>
      </c>
      <c r="H47" s="5">
        <v>1961</v>
      </c>
      <c r="I47" s="5">
        <v>243402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3">
        <v>44</v>
      </c>
      <c r="D48" s="10" t="s">
        <v>96</v>
      </c>
      <c r="E48" s="3" t="s">
        <v>190</v>
      </c>
      <c r="F48" s="3" t="s">
        <v>191</v>
      </c>
      <c r="G48" s="3" t="s">
        <v>117</v>
      </c>
      <c r="H48" s="5">
        <v>5437</v>
      </c>
      <c r="I48" s="5">
        <v>365070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3">
        <v>45</v>
      </c>
      <c r="D49" s="10" t="s">
        <v>96</v>
      </c>
      <c r="E49" s="3" t="s">
        <v>192</v>
      </c>
      <c r="F49" s="3" t="s">
        <v>193</v>
      </c>
      <c r="G49" s="3" t="s">
        <v>117</v>
      </c>
      <c r="H49" s="5">
        <v>6889</v>
      </c>
      <c r="I49" s="5">
        <v>164880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1"/>
      <c r="C50" s="3">
        <v>46</v>
      </c>
      <c r="D50" s="10" t="s">
        <v>96</v>
      </c>
      <c r="E50" s="3" t="s">
        <v>194</v>
      </c>
      <c r="F50" s="3" t="s">
        <v>195</v>
      </c>
      <c r="G50" s="3" t="s">
        <v>53</v>
      </c>
      <c r="H50" s="5">
        <v>5757</v>
      </c>
      <c r="I50" s="5">
        <v>333776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1"/>
      <c r="C51" s="3">
        <v>47</v>
      </c>
      <c r="D51" s="10" t="s">
        <v>96</v>
      </c>
      <c r="E51" s="3" t="s">
        <v>196</v>
      </c>
      <c r="F51" s="3" t="s">
        <v>197</v>
      </c>
      <c r="G51" s="3" t="s">
        <v>147</v>
      </c>
      <c r="H51" s="5">
        <v>1904</v>
      </c>
      <c r="I51" s="5">
        <v>161983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1"/>
      <c r="C52" s="3">
        <v>48</v>
      </c>
      <c r="D52" s="10" t="s">
        <v>96</v>
      </c>
      <c r="E52" s="3" t="s">
        <v>198</v>
      </c>
      <c r="F52" s="3" t="s">
        <v>199</v>
      </c>
      <c r="G52" s="3" t="s">
        <v>117</v>
      </c>
      <c r="H52" s="5">
        <v>2354</v>
      </c>
      <c r="I52" s="5">
        <v>305931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3">
        <v>49</v>
      </c>
      <c r="D53" s="10" t="s">
        <v>96</v>
      </c>
      <c r="E53" s="3" t="s">
        <v>200</v>
      </c>
      <c r="F53" s="3" t="s">
        <v>201</v>
      </c>
      <c r="G53" s="3" t="s">
        <v>105</v>
      </c>
      <c r="H53" s="5">
        <v>5913</v>
      </c>
      <c r="I53" s="5">
        <v>186821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3">
        <v>50</v>
      </c>
      <c r="D54" s="10" t="s">
        <v>96</v>
      </c>
      <c r="E54" s="3" t="s">
        <v>202</v>
      </c>
      <c r="F54" s="3" t="s">
        <v>203</v>
      </c>
      <c r="G54" s="3" t="s">
        <v>95</v>
      </c>
      <c r="H54" s="5">
        <v>2935</v>
      </c>
      <c r="I54" s="5">
        <v>188589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U18:W18"/>
    <mergeCell ref="L20:L26"/>
    <mergeCell ref="S18:T19"/>
    <mergeCell ref="S20:S26"/>
    <mergeCell ref="C3:I3"/>
    <mergeCell ref="L3:L6"/>
    <mergeCell ref="L10:L13"/>
    <mergeCell ref="L18:M19"/>
    <mergeCell ref="N18:P18"/>
  </mergeCells>
  <phoneticPr fontId="1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000"/>
  <sheetViews>
    <sheetView showGridLines="0" tabSelected="1" workbookViewId="0"/>
  </sheetViews>
  <sheetFormatPr defaultColWidth="14.453125" defaultRowHeight="15" customHeight="1" x14ac:dyDescent="0.35"/>
  <cols>
    <col min="1" max="1" width="8.7265625" customWidth="1"/>
    <col min="2" max="2" width="20.81640625" customWidth="1"/>
    <col min="3" max="3" width="9.08984375" customWidth="1"/>
    <col min="4" max="4" width="5.7265625" customWidth="1"/>
    <col min="5" max="5" width="17.26953125" customWidth="1"/>
    <col min="6" max="6" width="14.54296875" customWidth="1"/>
    <col min="7" max="7" width="6.7265625" customWidth="1"/>
    <col min="8" max="8" width="5.7265625" customWidth="1"/>
    <col min="9" max="9" width="8.7265625" customWidth="1"/>
    <col min="10" max="10" width="14.81640625" customWidth="1"/>
    <col min="11" max="11" width="4.453125" customWidth="1"/>
    <col min="12" max="15" width="8.7265625" customWidth="1"/>
    <col min="16" max="16" width="8.08984375" customWidth="1"/>
    <col min="17" max="17" width="15.453125" customWidth="1"/>
    <col min="18" max="18" width="8.54296875" customWidth="1"/>
    <col min="19" max="19" width="4.54296875" customWidth="1"/>
    <col min="20" max="20" width="15.26953125" customWidth="1"/>
    <col min="21" max="21" width="13.54296875" customWidth="1"/>
    <col min="22" max="22" width="11" customWidth="1"/>
    <col min="23" max="23" width="10" customWidth="1"/>
    <col min="24" max="24" width="10.54296875" customWidth="1"/>
    <col min="25" max="25" width="11.08984375" customWidth="1"/>
  </cols>
  <sheetData>
    <row r="1" spans="2:25" ht="14.25" customHeight="1" x14ac:dyDescent="0.35"/>
    <row r="2" spans="2:25" ht="14.25" customHeight="1" x14ac:dyDescent="0.5">
      <c r="P2" s="41" t="s">
        <v>204</v>
      </c>
      <c r="Q2" s="42"/>
      <c r="R2" s="42"/>
    </row>
    <row r="3" spans="2:25" ht="14.25" customHeight="1" x14ac:dyDescent="0.35"/>
    <row r="4" spans="2:25" ht="14.25" customHeight="1" x14ac:dyDescent="0.45">
      <c r="P4" s="26" t="s">
        <v>0</v>
      </c>
      <c r="Q4" s="27"/>
      <c r="R4" s="27"/>
      <c r="S4" s="27"/>
      <c r="T4" s="27"/>
      <c r="U4" s="27"/>
      <c r="V4" s="27"/>
      <c r="W4" s="27"/>
      <c r="X4" s="28"/>
    </row>
    <row r="5" spans="2:25" ht="14.25" customHeight="1" x14ac:dyDescent="0.35">
      <c r="B5" s="18" t="s">
        <v>205</v>
      </c>
      <c r="C5" s="1"/>
      <c r="D5" s="1"/>
      <c r="F5" s="18" t="s">
        <v>206</v>
      </c>
      <c r="G5" s="1"/>
      <c r="H5" s="1"/>
      <c r="P5" s="2" t="s">
        <v>2</v>
      </c>
      <c r="Q5" s="2" t="s">
        <v>3</v>
      </c>
      <c r="R5" s="2" t="s">
        <v>4</v>
      </c>
      <c r="S5" s="2" t="s">
        <v>5</v>
      </c>
      <c r="T5" s="2" t="s">
        <v>6</v>
      </c>
      <c r="U5" s="2" t="s">
        <v>7</v>
      </c>
      <c r="V5" s="2" t="s">
        <v>8</v>
      </c>
      <c r="W5" s="2" t="s">
        <v>9</v>
      </c>
      <c r="X5" s="2" t="s">
        <v>207</v>
      </c>
    </row>
    <row r="6" spans="2:25" ht="14.25" customHeight="1" x14ac:dyDescent="0.35">
      <c r="B6" s="19" t="s">
        <v>208</v>
      </c>
      <c r="C6" s="19" t="s">
        <v>209</v>
      </c>
      <c r="D6" s="19" t="s">
        <v>210</v>
      </c>
      <c r="F6" s="19" t="s">
        <v>211</v>
      </c>
      <c r="G6" s="19" t="s">
        <v>212</v>
      </c>
      <c r="H6" s="19" t="s">
        <v>210</v>
      </c>
      <c r="J6" s="19" t="s">
        <v>213</v>
      </c>
      <c r="K6" s="20">
        <v>0.33333333333333331</v>
      </c>
      <c r="P6" s="3" t="s">
        <v>10</v>
      </c>
      <c r="Q6" s="3" t="s">
        <v>11</v>
      </c>
      <c r="R6" s="3" t="s">
        <v>12</v>
      </c>
      <c r="S6" s="4">
        <v>39</v>
      </c>
      <c r="T6" s="3" t="s">
        <v>13</v>
      </c>
      <c r="U6" s="3" t="s">
        <v>14</v>
      </c>
      <c r="V6" s="5">
        <v>455575.95039999997</v>
      </c>
      <c r="W6" s="5">
        <v>27334.557023999998</v>
      </c>
      <c r="X6" s="5"/>
      <c r="Y6" s="21"/>
    </row>
    <row r="7" spans="2:25" ht="14.25" customHeight="1" x14ac:dyDescent="0.35">
      <c r="B7" s="3" t="s">
        <v>214</v>
      </c>
      <c r="C7" s="4">
        <v>76</v>
      </c>
      <c r="D7" s="3"/>
      <c r="F7" s="3" t="s">
        <v>215</v>
      </c>
      <c r="G7" s="20">
        <v>0.31736111111111115</v>
      </c>
      <c r="H7" s="3"/>
      <c r="P7" s="3" t="s">
        <v>16</v>
      </c>
      <c r="Q7" s="3" t="s">
        <v>17</v>
      </c>
      <c r="R7" s="3" t="s">
        <v>18</v>
      </c>
      <c r="S7" s="4">
        <v>33</v>
      </c>
      <c r="T7" s="3" t="s">
        <v>13</v>
      </c>
      <c r="U7" s="3" t="s">
        <v>19</v>
      </c>
      <c r="V7" s="5">
        <v>264190.842</v>
      </c>
      <c r="W7" s="5">
        <v>15851.45052</v>
      </c>
      <c r="X7" s="5"/>
      <c r="Y7" s="21"/>
    </row>
    <row r="8" spans="2:25" ht="14.25" customHeight="1" x14ac:dyDescent="0.35">
      <c r="B8" s="3" t="s">
        <v>216</v>
      </c>
      <c r="C8" s="4">
        <v>70</v>
      </c>
      <c r="D8" s="3"/>
      <c r="F8" s="3" t="s">
        <v>217</v>
      </c>
      <c r="G8" s="20">
        <v>0.30069444444444443</v>
      </c>
      <c r="H8" s="3"/>
      <c r="P8" s="3" t="s">
        <v>21</v>
      </c>
      <c r="Q8" s="3" t="s">
        <v>22</v>
      </c>
      <c r="R8" s="3" t="s">
        <v>23</v>
      </c>
      <c r="S8" s="4">
        <v>25</v>
      </c>
      <c r="T8" s="3" t="s">
        <v>24</v>
      </c>
      <c r="U8" s="3" t="s">
        <v>25</v>
      </c>
      <c r="V8" s="5">
        <v>188525.0784</v>
      </c>
      <c r="W8" s="5">
        <v>11311.504703999999</v>
      </c>
      <c r="X8" s="5"/>
      <c r="Y8" s="21"/>
    </row>
    <row r="9" spans="2:25" ht="14.25" customHeight="1" x14ac:dyDescent="0.35">
      <c r="B9" s="3" t="s">
        <v>218</v>
      </c>
      <c r="C9" s="4">
        <v>49</v>
      </c>
      <c r="D9" s="3"/>
      <c r="F9" s="3" t="s">
        <v>219</v>
      </c>
      <c r="G9" s="20">
        <v>0.36805555555555558</v>
      </c>
      <c r="H9" s="3"/>
      <c r="P9" s="3" t="s">
        <v>27</v>
      </c>
      <c r="Q9" s="3" t="s">
        <v>28</v>
      </c>
      <c r="R9" s="3" t="s">
        <v>29</v>
      </c>
      <c r="S9" s="4">
        <v>26</v>
      </c>
      <c r="T9" s="3" t="s">
        <v>30</v>
      </c>
      <c r="U9" s="3" t="s">
        <v>25</v>
      </c>
      <c r="V9" s="5">
        <v>105119.5168</v>
      </c>
      <c r="W9" s="5">
        <v>6307.1710079999993</v>
      </c>
      <c r="X9" s="5"/>
      <c r="Y9" s="21"/>
    </row>
    <row r="10" spans="2:25" ht="14.25" customHeight="1" x14ac:dyDescent="0.35">
      <c r="B10" s="3" t="s">
        <v>220</v>
      </c>
      <c r="C10" s="4">
        <v>37</v>
      </c>
      <c r="D10" s="3"/>
      <c r="F10" s="3" t="s">
        <v>221</v>
      </c>
      <c r="G10" s="20">
        <v>0.32291666666666669</v>
      </c>
      <c r="H10" s="3"/>
      <c r="P10" s="3" t="s">
        <v>32</v>
      </c>
      <c r="Q10" s="3" t="s">
        <v>33</v>
      </c>
      <c r="R10" s="3" t="s">
        <v>34</v>
      </c>
      <c r="S10" s="4">
        <v>41</v>
      </c>
      <c r="T10" s="3" t="s">
        <v>35</v>
      </c>
      <c r="U10" s="3" t="s">
        <v>36</v>
      </c>
      <c r="V10" s="5">
        <v>364156.2304</v>
      </c>
      <c r="W10" s="5">
        <v>21849.373823999998</v>
      </c>
      <c r="X10" s="5"/>
      <c r="Y10" s="21"/>
    </row>
    <row r="11" spans="2:25" ht="14.25" customHeight="1" x14ac:dyDescent="0.35">
      <c r="B11" s="3" t="s">
        <v>222</v>
      </c>
      <c r="C11" s="4">
        <v>35</v>
      </c>
      <c r="D11" s="3"/>
      <c r="F11" s="3" t="s">
        <v>223</v>
      </c>
      <c r="G11" s="20">
        <v>0.3743055555555555</v>
      </c>
      <c r="H11" s="3"/>
      <c r="P11" s="3" t="s">
        <v>38</v>
      </c>
      <c r="Q11" s="3" t="s">
        <v>39</v>
      </c>
      <c r="R11" s="3" t="s">
        <v>40</v>
      </c>
      <c r="S11" s="4">
        <v>41</v>
      </c>
      <c r="T11" s="3" t="s">
        <v>41</v>
      </c>
      <c r="U11" s="3" t="s">
        <v>14</v>
      </c>
      <c r="V11" s="5">
        <v>491749.0024</v>
      </c>
      <c r="W11" s="5">
        <v>29504.940144</v>
      </c>
      <c r="X11" s="5"/>
      <c r="Y11" s="21"/>
    </row>
    <row r="12" spans="2:25" ht="14.25" customHeight="1" x14ac:dyDescent="0.35">
      <c r="B12" s="3" t="s">
        <v>224</v>
      </c>
      <c r="C12" s="4">
        <v>81</v>
      </c>
      <c r="D12" s="3"/>
      <c r="F12" s="3" t="s">
        <v>225</v>
      </c>
      <c r="G12" s="20">
        <v>0.33055555555555555</v>
      </c>
      <c r="H12" s="3"/>
      <c r="P12" s="3" t="s">
        <v>43</v>
      </c>
      <c r="Q12" s="3" t="s">
        <v>44</v>
      </c>
      <c r="R12" s="3" t="s">
        <v>18</v>
      </c>
      <c r="S12" s="4">
        <v>31</v>
      </c>
      <c r="T12" s="3" t="s">
        <v>45</v>
      </c>
      <c r="U12" s="3" t="s">
        <v>25</v>
      </c>
      <c r="V12" s="5">
        <v>131912.68280000001</v>
      </c>
      <c r="W12" s="5">
        <v>7914.7609680000005</v>
      </c>
      <c r="X12" s="5"/>
      <c r="Y12" s="21"/>
    </row>
    <row r="13" spans="2:25" ht="14.25" customHeight="1" x14ac:dyDescent="0.35">
      <c r="B13" s="3" t="s">
        <v>226</v>
      </c>
      <c r="C13" s="4">
        <v>42</v>
      </c>
      <c r="D13" s="3"/>
      <c r="F13" s="3" t="s">
        <v>227</v>
      </c>
      <c r="G13" s="20">
        <v>0.30555555555555552</v>
      </c>
      <c r="H13" s="3"/>
      <c r="P13" s="3" t="s">
        <v>46</v>
      </c>
      <c r="Q13" s="3" t="s">
        <v>47</v>
      </c>
      <c r="R13" s="3" t="s">
        <v>48</v>
      </c>
      <c r="S13" s="4">
        <v>43</v>
      </c>
      <c r="T13" s="3" t="s">
        <v>49</v>
      </c>
      <c r="U13" s="3" t="s">
        <v>19</v>
      </c>
      <c r="V13" s="5">
        <v>227691.7972</v>
      </c>
      <c r="W13" s="5">
        <v>13661.507831999999</v>
      </c>
      <c r="X13" s="5"/>
      <c r="Y13" s="21"/>
    </row>
    <row r="14" spans="2:25" ht="14.25" customHeight="1" x14ac:dyDescent="0.35">
      <c r="B14" s="3" t="s">
        <v>228</v>
      </c>
      <c r="C14" s="4">
        <v>95</v>
      </c>
      <c r="D14" s="3"/>
      <c r="F14" s="3" t="s">
        <v>229</v>
      </c>
      <c r="G14" s="20">
        <v>0.33333333333333331</v>
      </c>
      <c r="H14" s="3"/>
      <c r="P14" s="3" t="s">
        <v>50</v>
      </c>
      <c r="Q14" s="3" t="s">
        <v>51</v>
      </c>
      <c r="R14" s="3" t="s">
        <v>52</v>
      </c>
      <c r="S14" s="4">
        <v>44</v>
      </c>
      <c r="T14" s="3" t="s">
        <v>53</v>
      </c>
      <c r="U14" s="3" t="s">
        <v>36</v>
      </c>
      <c r="V14" s="5">
        <v>370608.25559999997</v>
      </c>
      <c r="W14" s="5">
        <v>22236.495335999996</v>
      </c>
      <c r="X14" s="5"/>
      <c r="Y14" s="21"/>
    </row>
    <row r="15" spans="2:25" ht="14.25" customHeight="1" x14ac:dyDescent="0.35">
      <c r="B15" s="3" t="s">
        <v>230</v>
      </c>
      <c r="C15" s="4">
        <v>22</v>
      </c>
      <c r="D15" s="3"/>
      <c r="F15" s="3" t="s">
        <v>231</v>
      </c>
      <c r="G15" s="20">
        <v>0.35625000000000001</v>
      </c>
      <c r="H15" s="3"/>
      <c r="P15" s="3" t="s">
        <v>54</v>
      </c>
      <c r="Q15" s="3" t="s">
        <v>55</v>
      </c>
      <c r="R15" s="3" t="s">
        <v>56</v>
      </c>
      <c r="S15" s="4">
        <v>43</v>
      </c>
      <c r="T15" s="3" t="s">
        <v>41</v>
      </c>
      <c r="U15" s="3" t="s">
        <v>14</v>
      </c>
      <c r="V15" s="5">
        <v>454589.87280000001</v>
      </c>
      <c r="W15" s="5">
        <v>27275.392368000001</v>
      </c>
      <c r="X15" s="5"/>
      <c r="Y15" s="21"/>
    </row>
    <row r="16" spans="2:25" ht="14.25" customHeight="1" x14ac:dyDescent="0.35">
      <c r="P16" s="3" t="s">
        <v>57</v>
      </c>
      <c r="Q16" s="3" t="s">
        <v>58</v>
      </c>
      <c r="R16" s="3" t="s">
        <v>59</v>
      </c>
      <c r="S16" s="4">
        <v>39</v>
      </c>
      <c r="T16" s="3" t="s">
        <v>53</v>
      </c>
      <c r="U16" s="3" t="s">
        <v>36</v>
      </c>
      <c r="V16" s="5">
        <v>434186.97560000001</v>
      </c>
      <c r="W16" s="5">
        <v>26051.218536</v>
      </c>
      <c r="X16" s="5"/>
      <c r="Y16" s="21"/>
    </row>
    <row r="17" spans="16:25" ht="14.25" customHeight="1" x14ac:dyDescent="0.35">
      <c r="P17" s="3" t="s">
        <v>60</v>
      </c>
      <c r="Q17" s="3" t="s">
        <v>61</v>
      </c>
      <c r="R17" s="3" t="s">
        <v>62</v>
      </c>
      <c r="S17" s="4">
        <v>30</v>
      </c>
      <c r="T17" s="3" t="s">
        <v>63</v>
      </c>
      <c r="U17" s="3" t="s">
        <v>19</v>
      </c>
      <c r="V17" s="5">
        <v>283979.21240000002</v>
      </c>
      <c r="W17" s="5">
        <v>17038.752744000001</v>
      </c>
      <c r="X17" s="5"/>
      <c r="Y17" s="21"/>
    </row>
    <row r="18" spans="16:25" ht="14.25" customHeight="1" x14ac:dyDescent="0.35">
      <c r="P18" s="3" t="s">
        <v>64</v>
      </c>
      <c r="Q18" s="3" t="s">
        <v>65</v>
      </c>
      <c r="R18" s="3" t="s">
        <v>52</v>
      </c>
      <c r="S18" s="4">
        <v>42</v>
      </c>
      <c r="T18" s="3" t="s">
        <v>53</v>
      </c>
      <c r="U18" s="3" t="s">
        <v>36</v>
      </c>
      <c r="V18" s="5">
        <v>390256.91480000003</v>
      </c>
      <c r="W18" s="5">
        <v>23415.414887999999</v>
      </c>
      <c r="X18" s="5"/>
      <c r="Y18" s="21"/>
    </row>
    <row r="19" spans="16:25" ht="14.25" customHeight="1" x14ac:dyDescent="0.35">
      <c r="P19" s="3" t="s">
        <v>66</v>
      </c>
      <c r="Q19" s="3" t="s">
        <v>67</v>
      </c>
      <c r="R19" s="3" t="s">
        <v>68</v>
      </c>
      <c r="S19" s="4">
        <v>31</v>
      </c>
      <c r="T19" s="3" t="s">
        <v>49</v>
      </c>
      <c r="U19" s="3" t="s">
        <v>19</v>
      </c>
      <c r="V19" s="5">
        <v>289098.9192</v>
      </c>
      <c r="W19" s="5">
        <v>17345.935151999998</v>
      </c>
      <c r="X19" s="5"/>
      <c r="Y19" s="21"/>
    </row>
    <row r="20" spans="16:25" ht="14.25" customHeight="1" x14ac:dyDescent="0.35">
      <c r="P20" s="3" t="s">
        <v>69</v>
      </c>
      <c r="Q20" s="3" t="s">
        <v>70</v>
      </c>
      <c r="R20" s="3" t="s">
        <v>34</v>
      </c>
      <c r="S20" s="4">
        <v>39</v>
      </c>
      <c r="T20" s="3" t="s">
        <v>24</v>
      </c>
      <c r="U20" s="3" t="s">
        <v>25</v>
      </c>
      <c r="V20" s="5">
        <v>201912.0436</v>
      </c>
      <c r="W20" s="5">
        <v>12114.722615999999</v>
      </c>
      <c r="X20" s="5"/>
      <c r="Y20" s="21"/>
    </row>
    <row r="21" spans="16:25" ht="14.25" customHeight="1" x14ac:dyDescent="0.35">
      <c r="P21" s="3" t="s">
        <v>71</v>
      </c>
      <c r="Q21" s="3" t="s">
        <v>72</v>
      </c>
      <c r="R21" s="3" t="s">
        <v>29</v>
      </c>
      <c r="S21" s="4">
        <v>22</v>
      </c>
      <c r="T21" s="3" t="s">
        <v>45</v>
      </c>
      <c r="U21" s="3" t="s">
        <v>25</v>
      </c>
      <c r="V21" s="5">
        <v>146343.43239999999</v>
      </c>
      <c r="W21" s="5">
        <v>8780.605943999999</v>
      </c>
      <c r="X21" s="5"/>
      <c r="Y21" s="21"/>
    </row>
    <row r="22" spans="16:25" ht="14.25" customHeight="1" x14ac:dyDescent="0.35">
      <c r="P22" s="3" t="s">
        <v>73</v>
      </c>
      <c r="Q22" s="3" t="s">
        <v>74</v>
      </c>
      <c r="R22" s="3" t="s">
        <v>75</v>
      </c>
      <c r="S22" s="4">
        <v>42</v>
      </c>
      <c r="T22" s="3" t="s">
        <v>30</v>
      </c>
      <c r="U22" s="3" t="s">
        <v>36</v>
      </c>
      <c r="V22" s="5">
        <v>372195.69880000001</v>
      </c>
      <c r="W22" s="5">
        <v>22331.741927999999</v>
      </c>
      <c r="X22" s="5"/>
      <c r="Y22" s="21"/>
    </row>
    <row r="23" spans="16:25" ht="14.25" customHeight="1" x14ac:dyDescent="0.35">
      <c r="P23" s="3" t="s">
        <v>76</v>
      </c>
      <c r="Q23" s="3" t="s">
        <v>77</v>
      </c>
      <c r="R23" s="3" t="s">
        <v>29</v>
      </c>
      <c r="S23" s="4">
        <v>37</v>
      </c>
      <c r="T23" s="3" t="s">
        <v>78</v>
      </c>
      <c r="U23" s="3" t="s">
        <v>36</v>
      </c>
      <c r="V23" s="5">
        <v>401553.27399999998</v>
      </c>
      <c r="W23" s="5">
        <v>24093.196439999996</v>
      </c>
      <c r="X23" s="5"/>
      <c r="Y23" s="21"/>
    </row>
    <row r="24" spans="16:25" ht="14.25" customHeight="1" x14ac:dyDescent="0.35"/>
    <row r="25" spans="16:25" ht="14.25" customHeight="1" x14ac:dyDescent="0.35"/>
    <row r="26" spans="16:25" ht="14.25" customHeight="1" x14ac:dyDescent="0.35"/>
    <row r="27" spans="16:25" ht="14.25" customHeight="1" x14ac:dyDescent="0.35"/>
    <row r="28" spans="16:25" ht="14.25" customHeight="1" x14ac:dyDescent="0.35"/>
    <row r="29" spans="16:25" ht="14.25" customHeight="1" x14ac:dyDescent="0.35"/>
    <row r="30" spans="16:25" ht="14.25" customHeight="1" x14ac:dyDescent="0.35"/>
    <row r="31" spans="16:25" ht="14.25" customHeight="1" x14ac:dyDescent="0.35"/>
    <row r="32" spans="16:2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P2:R2"/>
    <mergeCell ref="P4:X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000"/>
  <sheetViews>
    <sheetView showGridLines="0" workbookViewId="0"/>
  </sheetViews>
  <sheetFormatPr defaultColWidth="14.453125" defaultRowHeight="15" customHeight="1" x14ac:dyDescent="0.35"/>
  <cols>
    <col min="1" max="9" width="8.7265625" customWidth="1"/>
    <col min="10" max="10" width="12.08984375" customWidth="1"/>
    <col min="11" max="13" width="8.7265625" customWidth="1"/>
  </cols>
  <sheetData>
    <row r="1" spans="2:13" ht="14.25" customHeight="1" x14ac:dyDescent="0.35"/>
    <row r="2" spans="2:13" ht="14.25" customHeight="1" x14ac:dyDescent="0.5">
      <c r="B2" s="22" t="s">
        <v>232</v>
      </c>
      <c r="C2" s="1"/>
      <c r="D2" s="1">
        <v>50</v>
      </c>
      <c r="E2" s="1"/>
      <c r="F2" s="1"/>
      <c r="G2" s="1"/>
      <c r="H2" s="1"/>
      <c r="I2" s="1"/>
      <c r="J2" s="22" t="s">
        <v>233</v>
      </c>
      <c r="K2" s="1"/>
      <c r="L2" s="1">
        <v>50</v>
      </c>
      <c r="M2" s="1"/>
    </row>
    <row r="3" spans="2:13" ht="14.25" customHeigh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25" customHeight="1" x14ac:dyDescent="0.35">
      <c r="B4" s="19" t="s">
        <v>234</v>
      </c>
      <c r="C4" s="19" t="s">
        <v>235</v>
      </c>
      <c r="D4" s="19" t="s">
        <v>236</v>
      </c>
      <c r="E4" s="19" t="s">
        <v>237</v>
      </c>
      <c r="F4" s="1"/>
      <c r="G4" s="1"/>
      <c r="H4" s="1"/>
      <c r="I4" s="1"/>
      <c r="J4" s="19" t="s">
        <v>234</v>
      </c>
      <c r="K4" s="19" t="s">
        <v>235</v>
      </c>
      <c r="L4" s="19" t="s">
        <v>236</v>
      </c>
      <c r="M4" s="19" t="s">
        <v>237</v>
      </c>
    </row>
    <row r="5" spans="2:13" ht="14.25" customHeight="1" x14ac:dyDescent="0.35">
      <c r="B5" s="3" t="s">
        <v>238</v>
      </c>
      <c r="C5" s="3">
        <v>93</v>
      </c>
      <c r="D5" s="3">
        <v>62</v>
      </c>
      <c r="E5" s="3"/>
      <c r="F5" s="1"/>
      <c r="G5" s="1"/>
      <c r="H5" s="1"/>
      <c r="I5" s="1"/>
      <c r="J5" s="3" t="s">
        <v>238</v>
      </c>
      <c r="K5" s="3">
        <v>93</v>
      </c>
      <c r="L5" s="3">
        <v>62</v>
      </c>
      <c r="M5" s="3"/>
    </row>
    <row r="6" spans="2:13" ht="14.25" customHeight="1" x14ac:dyDescent="0.35">
      <c r="B6" s="3" t="s">
        <v>239</v>
      </c>
      <c r="C6" s="3">
        <v>36</v>
      </c>
      <c r="D6" s="3">
        <v>47</v>
      </c>
      <c r="E6" s="3"/>
      <c r="F6" s="1"/>
      <c r="G6" s="1"/>
      <c r="H6" s="1"/>
      <c r="I6" s="1"/>
      <c r="J6" s="3" t="s">
        <v>239</v>
      </c>
      <c r="K6" s="3">
        <v>36</v>
      </c>
      <c r="L6" s="3">
        <v>47</v>
      </c>
      <c r="M6" s="3"/>
    </row>
    <row r="7" spans="2:13" ht="14.25" customHeight="1" x14ac:dyDescent="0.35">
      <c r="B7" s="3" t="s">
        <v>240</v>
      </c>
      <c r="C7" s="3">
        <v>39</v>
      </c>
      <c r="D7" s="3">
        <v>36</v>
      </c>
      <c r="E7" s="3"/>
      <c r="F7" s="1"/>
      <c r="G7" s="1"/>
      <c r="H7" s="1"/>
      <c r="I7" s="1"/>
      <c r="J7" s="3" t="s">
        <v>240</v>
      </c>
      <c r="K7" s="3">
        <v>39</v>
      </c>
      <c r="L7" s="3">
        <v>36</v>
      </c>
      <c r="M7" s="3"/>
    </row>
    <row r="8" spans="2:13" ht="14.25" customHeight="1" x14ac:dyDescent="0.35">
      <c r="B8" s="3" t="s">
        <v>241</v>
      </c>
      <c r="C8" s="3">
        <v>98</v>
      </c>
      <c r="D8" s="3">
        <v>58</v>
      </c>
      <c r="E8" s="3"/>
      <c r="F8" s="1"/>
      <c r="G8" s="1"/>
      <c r="H8" s="1"/>
      <c r="I8" s="1"/>
      <c r="J8" s="3" t="s">
        <v>241</v>
      </c>
      <c r="K8" s="3">
        <v>98</v>
      </c>
      <c r="L8" s="3">
        <v>58</v>
      </c>
      <c r="M8" s="3"/>
    </row>
    <row r="9" spans="2:13" ht="14.25" customHeight="1" x14ac:dyDescent="0.35">
      <c r="B9" s="3" t="s">
        <v>242</v>
      </c>
      <c r="C9" s="3">
        <v>41</v>
      </c>
      <c r="D9" s="3">
        <v>99</v>
      </c>
      <c r="E9" s="3"/>
      <c r="F9" s="1"/>
      <c r="G9" s="1"/>
      <c r="H9" s="1"/>
      <c r="I9" s="1"/>
      <c r="J9" s="3" t="s">
        <v>242</v>
      </c>
      <c r="K9" s="3">
        <v>41</v>
      </c>
      <c r="L9" s="3">
        <v>99</v>
      </c>
      <c r="M9" s="3"/>
    </row>
    <row r="10" spans="2:13" ht="14.25" customHeight="1" x14ac:dyDescent="0.35">
      <c r="B10" s="3" t="s">
        <v>243</v>
      </c>
      <c r="C10" s="3">
        <v>42</v>
      </c>
      <c r="D10" s="3">
        <v>98</v>
      </c>
      <c r="E10" s="3"/>
      <c r="F10" s="1"/>
      <c r="G10" s="1"/>
      <c r="H10" s="1"/>
      <c r="I10" s="1"/>
      <c r="J10" s="3" t="s">
        <v>243</v>
      </c>
      <c r="K10" s="3">
        <v>42</v>
      </c>
      <c r="L10" s="3">
        <v>98</v>
      </c>
      <c r="M10" s="3"/>
    </row>
    <row r="11" spans="2:13" ht="14.25" customHeight="1" x14ac:dyDescent="0.35">
      <c r="B11" s="3" t="s">
        <v>244</v>
      </c>
      <c r="C11" s="3">
        <v>48</v>
      </c>
      <c r="D11" s="3">
        <v>70</v>
      </c>
      <c r="E11" s="3"/>
      <c r="F11" s="1"/>
      <c r="G11" s="1"/>
      <c r="H11" s="1"/>
      <c r="I11" s="1"/>
      <c r="J11" s="3" t="s">
        <v>244</v>
      </c>
      <c r="K11" s="3">
        <v>48</v>
      </c>
      <c r="L11" s="3">
        <v>70</v>
      </c>
      <c r="M11" s="3"/>
    </row>
    <row r="12" spans="2:13" ht="14.25" customHeight="1" x14ac:dyDescent="0.35">
      <c r="B12" s="3" t="s">
        <v>245</v>
      </c>
      <c r="C12" s="3">
        <v>68</v>
      </c>
      <c r="D12" s="3">
        <v>79</v>
      </c>
      <c r="E12" s="3"/>
      <c r="F12" s="1"/>
      <c r="G12" s="1"/>
      <c r="H12" s="1"/>
      <c r="I12" s="1"/>
      <c r="J12" s="3" t="s">
        <v>245</v>
      </c>
      <c r="K12" s="3">
        <v>68</v>
      </c>
      <c r="L12" s="3">
        <v>79</v>
      </c>
      <c r="M12" s="3"/>
    </row>
    <row r="13" spans="2:13" ht="14.25" customHeight="1" x14ac:dyDescent="0.35">
      <c r="B13" s="3" t="s">
        <v>246</v>
      </c>
      <c r="C13" s="3">
        <v>88</v>
      </c>
      <c r="D13" s="3">
        <v>39</v>
      </c>
      <c r="E13" s="3"/>
      <c r="F13" s="1"/>
      <c r="G13" s="1"/>
      <c r="H13" s="1"/>
      <c r="I13" s="1"/>
      <c r="J13" s="3" t="s">
        <v>246</v>
      </c>
      <c r="K13" s="3">
        <v>88</v>
      </c>
      <c r="L13" s="3">
        <v>39</v>
      </c>
      <c r="M13" s="3"/>
    </row>
    <row r="14" spans="2:13" ht="14.25" customHeight="1" x14ac:dyDescent="0.35">
      <c r="B14" s="3" t="s">
        <v>247</v>
      </c>
      <c r="C14" s="3">
        <v>64</v>
      </c>
      <c r="D14" s="3">
        <v>71</v>
      </c>
      <c r="E14" s="3"/>
      <c r="F14" s="1"/>
      <c r="G14" s="1"/>
      <c r="H14" s="1"/>
      <c r="I14" s="1"/>
      <c r="J14" s="3" t="s">
        <v>247</v>
      </c>
      <c r="K14" s="3">
        <v>64</v>
      </c>
      <c r="L14" s="3">
        <v>71</v>
      </c>
      <c r="M14" s="3"/>
    </row>
    <row r="15" spans="2:13" ht="14.25" customHeight="1" x14ac:dyDescent="0.35">
      <c r="B15" s="3" t="s">
        <v>248</v>
      </c>
      <c r="C15" s="3">
        <v>34</v>
      </c>
      <c r="D15" s="3">
        <v>35</v>
      </c>
      <c r="E15" s="3"/>
      <c r="F15" s="1"/>
      <c r="G15" s="1"/>
      <c r="H15" s="1"/>
      <c r="I15" s="1"/>
      <c r="J15" s="3" t="s">
        <v>248</v>
      </c>
      <c r="K15" s="3">
        <v>34</v>
      </c>
      <c r="L15" s="3">
        <v>35</v>
      </c>
      <c r="M15" s="3"/>
    </row>
    <row r="16" spans="2:1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000"/>
  <sheetViews>
    <sheetView showGridLines="0" workbookViewId="0"/>
  </sheetViews>
  <sheetFormatPr defaultColWidth="14.453125" defaultRowHeight="15" customHeight="1" x14ac:dyDescent="0.35"/>
  <cols>
    <col min="1" max="1" width="3.453125" customWidth="1"/>
    <col min="2" max="2" width="4" customWidth="1"/>
    <col min="3" max="3" width="9.26953125" customWidth="1"/>
    <col min="4" max="4" width="13.453125" customWidth="1"/>
    <col min="5" max="5" width="19.453125" customWidth="1"/>
    <col min="6" max="6" width="9.81640625" customWidth="1"/>
    <col min="7" max="7" width="11.453125" customWidth="1"/>
    <col min="8" max="8" width="15.7265625" customWidth="1"/>
    <col min="9" max="9" width="16.54296875" customWidth="1"/>
  </cols>
  <sheetData>
    <row r="1" spans="2:9" ht="14.25" customHeight="1" x14ac:dyDescent="0.35"/>
    <row r="2" spans="2:9" ht="14.25" customHeight="1" x14ac:dyDescent="0.35"/>
    <row r="3" spans="2:9" ht="14.25" customHeight="1" x14ac:dyDescent="0.35"/>
    <row r="4" spans="2:9" ht="14.25" customHeight="1" x14ac:dyDescent="0.35"/>
    <row r="5" spans="2:9" ht="14.25" customHeight="1" x14ac:dyDescent="0.35">
      <c r="B5" s="36" t="s">
        <v>79</v>
      </c>
      <c r="C5" s="27"/>
      <c r="D5" s="27"/>
      <c r="E5" s="27"/>
      <c r="F5" s="27"/>
      <c r="G5" s="27"/>
      <c r="H5" s="27"/>
      <c r="I5" s="28"/>
    </row>
    <row r="6" spans="2:9" ht="14.25" customHeight="1" x14ac:dyDescent="0.35">
      <c r="B6" s="8" t="s">
        <v>84</v>
      </c>
      <c r="C6" s="8" t="s">
        <v>81</v>
      </c>
      <c r="D6" s="8" t="s">
        <v>85</v>
      </c>
      <c r="E6" s="8" t="s">
        <v>86</v>
      </c>
      <c r="F6" s="8" t="s">
        <v>87</v>
      </c>
      <c r="G6" s="8" t="s">
        <v>83</v>
      </c>
      <c r="H6" s="8" t="s">
        <v>249</v>
      </c>
      <c r="I6" s="8" t="s">
        <v>3</v>
      </c>
    </row>
    <row r="7" spans="2:9" ht="14.25" customHeight="1" x14ac:dyDescent="0.35">
      <c r="B7" s="3">
        <v>1</v>
      </c>
      <c r="C7" s="10" t="s">
        <v>88</v>
      </c>
      <c r="D7" s="3" t="s">
        <v>89</v>
      </c>
      <c r="E7" s="3" t="s">
        <v>90</v>
      </c>
      <c r="F7" s="3" t="s">
        <v>91</v>
      </c>
      <c r="G7" s="5">
        <v>318355</v>
      </c>
      <c r="H7" s="3" t="s">
        <v>14</v>
      </c>
      <c r="I7" s="3" t="s">
        <v>250</v>
      </c>
    </row>
    <row r="8" spans="2:9" ht="14.25" customHeight="1" x14ac:dyDescent="0.35">
      <c r="B8" s="3">
        <v>2</v>
      </c>
      <c r="C8" s="10" t="s">
        <v>88</v>
      </c>
      <c r="D8" s="3" t="s">
        <v>93</v>
      </c>
      <c r="E8" s="3" t="s">
        <v>94</v>
      </c>
      <c r="F8" s="3" t="s">
        <v>95</v>
      </c>
      <c r="G8" s="5">
        <v>334852</v>
      </c>
      <c r="H8" s="3" t="s">
        <v>14</v>
      </c>
      <c r="I8" s="3" t="s">
        <v>39</v>
      </c>
    </row>
    <row r="9" spans="2:9" ht="14.25" customHeight="1" x14ac:dyDescent="0.35">
      <c r="B9" s="3">
        <v>3</v>
      </c>
      <c r="C9" s="10" t="s">
        <v>88</v>
      </c>
      <c r="D9" s="3" t="s">
        <v>97</v>
      </c>
      <c r="E9" s="3" t="s">
        <v>98</v>
      </c>
      <c r="F9" s="3" t="s">
        <v>53</v>
      </c>
      <c r="G9" s="5">
        <v>164629</v>
      </c>
      <c r="H9" s="3" t="s">
        <v>251</v>
      </c>
      <c r="I9" s="3" t="s">
        <v>55</v>
      </c>
    </row>
    <row r="10" spans="2:9" ht="14.25" customHeight="1" x14ac:dyDescent="0.35">
      <c r="B10" s="3">
        <v>4</v>
      </c>
      <c r="C10" s="10" t="s">
        <v>88</v>
      </c>
      <c r="D10" s="3" t="s">
        <v>99</v>
      </c>
      <c r="E10" s="3" t="s">
        <v>100</v>
      </c>
      <c r="F10" s="3" t="s">
        <v>53</v>
      </c>
      <c r="G10" s="5">
        <v>364466</v>
      </c>
      <c r="H10" s="3" t="s">
        <v>14</v>
      </c>
      <c r="I10" s="3" t="s">
        <v>33</v>
      </c>
    </row>
    <row r="11" spans="2:9" ht="14.25" customHeight="1" x14ac:dyDescent="0.35">
      <c r="B11" s="3">
        <v>5</v>
      </c>
      <c r="C11" s="10" t="s">
        <v>88</v>
      </c>
      <c r="D11" s="3" t="s">
        <v>101</v>
      </c>
      <c r="E11" s="3" t="s">
        <v>102</v>
      </c>
      <c r="F11" s="3" t="s">
        <v>53</v>
      </c>
      <c r="G11" s="5">
        <v>355847</v>
      </c>
      <c r="H11" s="3" t="s">
        <v>251</v>
      </c>
      <c r="I11" s="3" t="s">
        <v>61</v>
      </c>
    </row>
    <row r="12" spans="2:9" ht="14.25" customHeight="1" x14ac:dyDescent="0.35">
      <c r="B12" s="3">
        <v>6</v>
      </c>
      <c r="C12" s="10" t="s">
        <v>88</v>
      </c>
      <c r="D12" s="3" t="s">
        <v>103</v>
      </c>
      <c r="E12" s="3" t="s">
        <v>104</v>
      </c>
      <c r="F12" s="3" t="s">
        <v>105</v>
      </c>
      <c r="G12" s="5">
        <v>375272</v>
      </c>
      <c r="H12" s="3" t="s">
        <v>14</v>
      </c>
      <c r="I12" s="3" t="s">
        <v>250</v>
      </c>
    </row>
    <row r="13" spans="2:9" ht="14.25" customHeight="1" x14ac:dyDescent="0.35">
      <c r="B13" s="3">
        <v>7</v>
      </c>
      <c r="C13" s="10" t="s">
        <v>88</v>
      </c>
      <c r="D13" s="3" t="s">
        <v>108</v>
      </c>
      <c r="E13" s="3" t="s">
        <v>109</v>
      </c>
      <c r="F13" s="3" t="s">
        <v>110</v>
      </c>
      <c r="G13" s="5">
        <v>427057</v>
      </c>
      <c r="H13" s="3" t="s">
        <v>14</v>
      </c>
      <c r="I13" s="3" t="s">
        <v>250</v>
      </c>
    </row>
    <row r="14" spans="2:9" ht="14.25" customHeight="1" x14ac:dyDescent="0.35">
      <c r="B14" s="3">
        <v>8</v>
      </c>
      <c r="C14" s="10" t="s">
        <v>88</v>
      </c>
      <c r="D14" s="3" t="s">
        <v>111</v>
      </c>
      <c r="E14" s="3" t="s">
        <v>112</v>
      </c>
      <c r="F14" s="3" t="s">
        <v>91</v>
      </c>
      <c r="G14" s="5">
        <v>78854</v>
      </c>
      <c r="H14" s="3" t="s">
        <v>36</v>
      </c>
      <c r="I14" s="3" t="s">
        <v>252</v>
      </c>
    </row>
    <row r="15" spans="2:9" ht="14.25" customHeight="1" x14ac:dyDescent="0.35">
      <c r="B15" s="3">
        <v>9</v>
      </c>
      <c r="C15" s="10" t="s">
        <v>88</v>
      </c>
      <c r="D15" s="3" t="s">
        <v>113</v>
      </c>
      <c r="E15" s="3" t="s">
        <v>114</v>
      </c>
      <c r="F15" s="3" t="s">
        <v>91</v>
      </c>
      <c r="G15" s="5">
        <v>256174</v>
      </c>
      <c r="H15" s="3" t="s">
        <v>14</v>
      </c>
      <c r="I15" s="3" t="s">
        <v>33</v>
      </c>
    </row>
    <row r="16" spans="2:9" ht="14.25" customHeight="1" x14ac:dyDescent="0.35">
      <c r="B16" s="3">
        <v>10</v>
      </c>
      <c r="C16" s="10" t="s">
        <v>88</v>
      </c>
      <c r="D16" s="3" t="s">
        <v>115</v>
      </c>
      <c r="E16" s="3" t="s">
        <v>116</v>
      </c>
      <c r="F16" s="3" t="s">
        <v>117</v>
      </c>
      <c r="G16" s="5">
        <v>248345</v>
      </c>
      <c r="H16" s="3" t="s">
        <v>14</v>
      </c>
      <c r="I16" s="3" t="s">
        <v>250</v>
      </c>
    </row>
    <row r="17" spans="2:9" ht="14.25" customHeight="1" x14ac:dyDescent="0.35">
      <c r="B17" s="3">
        <v>11</v>
      </c>
      <c r="C17" s="10" t="s">
        <v>88</v>
      </c>
      <c r="D17" s="3" t="s">
        <v>118</v>
      </c>
      <c r="E17" s="3" t="s">
        <v>119</v>
      </c>
      <c r="F17" s="3" t="s">
        <v>91</v>
      </c>
      <c r="G17" s="5">
        <v>142358</v>
      </c>
      <c r="H17" s="3" t="s">
        <v>251</v>
      </c>
      <c r="I17" s="3" t="s">
        <v>61</v>
      </c>
    </row>
    <row r="18" spans="2:9" ht="14.25" customHeight="1" x14ac:dyDescent="0.35">
      <c r="B18" s="3">
        <v>12</v>
      </c>
      <c r="C18" s="10" t="s">
        <v>88</v>
      </c>
      <c r="D18" s="3" t="s">
        <v>120</v>
      </c>
      <c r="E18" s="3" t="s">
        <v>121</v>
      </c>
      <c r="F18" s="3" t="s">
        <v>110</v>
      </c>
      <c r="G18" s="5">
        <v>327420</v>
      </c>
      <c r="H18" s="3" t="s">
        <v>14</v>
      </c>
      <c r="I18" s="3" t="s">
        <v>33</v>
      </c>
    </row>
    <row r="19" spans="2:9" ht="14.25" customHeight="1" x14ac:dyDescent="0.35">
      <c r="B19" s="3">
        <v>13</v>
      </c>
      <c r="C19" s="10" t="s">
        <v>88</v>
      </c>
      <c r="D19" s="3" t="s">
        <v>124</v>
      </c>
      <c r="E19" s="3" t="s">
        <v>125</v>
      </c>
      <c r="F19" s="3" t="s">
        <v>105</v>
      </c>
      <c r="G19" s="5">
        <v>351372</v>
      </c>
      <c r="H19" s="3" t="s">
        <v>14</v>
      </c>
      <c r="I19" s="3" t="s">
        <v>39</v>
      </c>
    </row>
    <row r="20" spans="2:9" ht="14.25" customHeight="1" x14ac:dyDescent="0.35">
      <c r="B20" s="3">
        <v>14</v>
      </c>
      <c r="C20" s="10" t="s">
        <v>88</v>
      </c>
      <c r="D20" s="3" t="s">
        <v>126</v>
      </c>
      <c r="E20" s="3" t="s">
        <v>127</v>
      </c>
      <c r="F20" s="3" t="s">
        <v>110</v>
      </c>
      <c r="G20" s="5">
        <v>255445</v>
      </c>
      <c r="H20" s="3" t="s">
        <v>14</v>
      </c>
      <c r="I20" s="3" t="s">
        <v>33</v>
      </c>
    </row>
    <row r="21" spans="2:9" ht="14.25" customHeight="1" x14ac:dyDescent="0.35">
      <c r="B21" s="3">
        <v>15</v>
      </c>
      <c r="C21" s="10" t="s">
        <v>88</v>
      </c>
      <c r="D21" s="3" t="s">
        <v>131</v>
      </c>
      <c r="E21" s="3" t="s">
        <v>132</v>
      </c>
      <c r="F21" s="3" t="s">
        <v>95</v>
      </c>
      <c r="G21" s="5">
        <v>161086</v>
      </c>
      <c r="H21" s="3" t="s">
        <v>251</v>
      </c>
      <c r="I21" s="3" t="s">
        <v>55</v>
      </c>
    </row>
    <row r="22" spans="2:9" ht="14.25" customHeight="1" x14ac:dyDescent="0.35">
      <c r="B22" s="3">
        <v>16</v>
      </c>
      <c r="C22" s="10" t="s">
        <v>92</v>
      </c>
      <c r="D22" s="3" t="s">
        <v>133</v>
      </c>
      <c r="E22" s="3" t="s">
        <v>134</v>
      </c>
      <c r="F22" s="3" t="s">
        <v>53</v>
      </c>
      <c r="G22" s="5">
        <v>173889</v>
      </c>
      <c r="H22" s="3" t="s">
        <v>14</v>
      </c>
      <c r="I22" s="3" t="s">
        <v>33</v>
      </c>
    </row>
    <row r="23" spans="2:9" ht="14.25" customHeight="1" x14ac:dyDescent="0.35">
      <c r="B23" s="3">
        <v>17</v>
      </c>
      <c r="C23" s="10" t="s">
        <v>92</v>
      </c>
      <c r="D23" s="3" t="s">
        <v>135</v>
      </c>
      <c r="E23" s="3" t="s">
        <v>136</v>
      </c>
      <c r="F23" s="3" t="s">
        <v>95</v>
      </c>
      <c r="G23" s="5">
        <v>261151</v>
      </c>
      <c r="H23" s="3" t="s">
        <v>14</v>
      </c>
      <c r="I23" s="3" t="s">
        <v>39</v>
      </c>
    </row>
    <row r="24" spans="2:9" ht="14.25" customHeight="1" x14ac:dyDescent="0.35">
      <c r="B24" s="3">
        <v>18</v>
      </c>
      <c r="C24" s="10" t="s">
        <v>92</v>
      </c>
      <c r="D24" s="3" t="s">
        <v>137</v>
      </c>
      <c r="E24" s="3" t="s">
        <v>138</v>
      </c>
      <c r="F24" s="3" t="s">
        <v>53</v>
      </c>
      <c r="G24" s="5">
        <v>340480</v>
      </c>
      <c r="H24" s="3" t="s">
        <v>251</v>
      </c>
      <c r="I24" s="3" t="s">
        <v>61</v>
      </c>
    </row>
    <row r="25" spans="2:9" ht="14.25" customHeight="1" x14ac:dyDescent="0.35">
      <c r="B25" s="3">
        <v>19</v>
      </c>
      <c r="C25" s="10" t="s">
        <v>92</v>
      </c>
      <c r="D25" s="3" t="s">
        <v>139</v>
      </c>
      <c r="E25" s="3" t="s">
        <v>140</v>
      </c>
      <c r="F25" s="3" t="s">
        <v>105</v>
      </c>
      <c r="G25" s="5">
        <v>287246</v>
      </c>
      <c r="H25" s="3" t="s">
        <v>14</v>
      </c>
      <c r="I25" s="3" t="s">
        <v>33</v>
      </c>
    </row>
    <row r="26" spans="2:9" ht="14.25" customHeight="1" x14ac:dyDescent="0.35">
      <c r="B26" s="3">
        <v>20</v>
      </c>
      <c r="C26" s="10" t="s">
        <v>92</v>
      </c>
      <c r="D26" s="3" t="s">
        <v>141</v>
      </c>
      <c r="E26" s="3" t="s">
        <v>142</v>
      </c>
      <c r="F26" s="3" t="s">
        <v>117</v>
      </c>
      <c r="G26" s="5">
        <v>285945</v>
      </c>
      <c r="H26" s="3" t="s">
        <v>14</v>
      </c>
      <c r="I26" s="3" t="s">
        <v>33</v>
      </c>
    </row>
    <row r="27" spans="2:9" ht="14.25" customHeight="1" x14ac:dyDescent="0.35">
      <c r="B27" s="3">
        <v>21</v>
      </c>
      <c r="C27" s="10" t="s">
        <v>92</v>
      </c>
      <c r="D27" s="3" t="s">
        <v>143</v>
      </c>
      <c r="E27" s="3" t="s">
        <v>144</v>
      </c>
      <c r="F27" s="3" t="s">
        <v>53</v>
      </c>
      <c r="G27" s="5">
        <v>388243</v>
      </c>
      <c r="H27" s="3" t="s">
        <v>14</v>
      </c>
      <c r="I27" s="3" t="s">
        <v>39</v>
      </c>
    </row>
    <row r="28" spans="2:9" ht="14.25" customHeight="1" x14ac:dyDescent="0.35">
      <c r="B28" s="3">
        <v>22</v>
      </c>
      <c r="C28" s="10" t="s">
        <v>92</v>
      </c>
      <c r="D28" s="3" t="s">
        <v>145</v>
      </c>
      <c r="E28" s="3" t="s">
        <v>146</v>
      </c>
      <c r="F28" s="3" t="s">
        <v>105</v>
      </c>
      <c r="G28" s="5">
        <v>344278</v>
      </c>
      <c r="H28" s="3" t="s">
        <v>251</v>
      </c>
      <c r="I28" s="3" t="s">
        <v>55</v>
      </c>
    </row>
    <row r="29" spans="2:9" ht="14.25" customHeight="1" x14ac:dyDescent="0.35">
      <c r="B29" s="3">
        <v>23</v>
      </c>
      <c r="C29" s="10" t="s">
        <v>92</v>
      </c>
      <c r="D29" s="3" t="s">
        <v>148</v>
      </c>
      <c r="E29" s="3" t="s">
        <v>149</v>
      </c>
      <c r="F29" s="3" t="s">
        <v>53</v>
      </c>
      <c r="G29" s="5">
        <v>346685</v>
      </c>
      <c r="H29" s="3" t="s">
        <v>14</v>
      </c>
      <c r="I29" s="3" t="s">
        <v>250</v>
      </c>
    </row>
    <row r="30" spans="2:9" ht="14.25" customHeight="1" x14ac:dyDescent="0.35">
      <c r="B30" s="3">
        <v>24</v>
      </c>
      <c r="C30" s="10" t="s">
        <v>92</v>
      </c>
      <c r="D30" s="3" t="s">
        <v>150</v>
      </c>
      <c r="E30" s="3" t="s">
        <v>151</v>
      </c>
      <c r="F30" s="3" t="s">
        <v>147</v>
      </c>
      <c r="G30" s="5">
        <v>341037</v>
      </c>
      <c r="H30" s="3" t="s">
        <v>14</v>
      </c>
      <c r="I30" s="3" t="s">
        <v>33</v>
      </c>
    </row>
    <row r="31" spans="2:9" ht="14.25" customHeight="1" x14ac:dyDescent="0.35">
      <c r="B31" s="3">
        <v>25</v>
      </c>
      <c r="C31" s="10" t="s">
        <v>92</v>
      </c>
      <c r="D31" s="3" t="s">
        <v>152</v>
      </c>
      <c r="E31" s="3" t="s">
        <v>153</v>
      </c>
      <c r="F31" s="3" t="s">
        <v>147</v>
      </c>
      <c r="G31" s="5">
        <v>195572</v>
      </c>
      <c r="H31" s="3" t="s">
        <v>14</v>
      </c>
      <c r="I31" s="3" t="s">
        <v>250</v>
      </c>
    </row>
    <row r="32" spans="2:9" ht="14.25" customHeight="1" x14ac:dyDescent="0.35">
      <c r="B32" s="3">
        <v>26</v>
      </c>
      <c r="C32" s="10" t="s">
        <v>92</v>
      </c>
      <c r="D32" s="3" t="s">
        <v>154</v>
      </c>
      <c r="E32" s="3" t="s">
        <v>155</v>
      </c>
      <c r="F32" s="3" t="s">
        <v>105</v>
      </c>
      <c r="G32" s="5">
        <v>242166</v>
      </c>
      <c r="H32" s="3" t="s">
        <v>14</v>
      </c>
      <c r="I32" s="3" t="s">
        <v>250</v>
      </c>
    </row>
    <row r="33" spans="2:9" ht="14.25" customHeight="1" x14ac:dyDescent="0.35">
      <c r="B33" s="3">
        <v>27</v>
      </c>
      <c r="C33" s="10" t="s">
        <v>92</v>
      </c>
      <c r="D33" s="3" t="s">
        <v>156</v>
      </c>
      <c r="E33" s="3" t="s">
        <v>157</v>
      </c>
      <c r="F33" s="3" t="s">
        <v>95</v>
      </c>
      <c r="G33" s="5">
        <v>198420</v>
      </c>
      <c r="H33" s="3" t="s">
        <v>14</v>
      </c>
      <c r="I33" s="3" t="s">
        <v>33</v>
      </c>
    </row>
    <row r="34" spans="2:9" ht="14.25" customHeight="1" x14ac:dyDescent="0.35">
      <c r="B34" s="3">
        <v>28</v>
      </c>
      <c r="C34" s="10" t="s">
        <v>92</v>
      </c>
      <c r="D34" s="3" t="s">
        <v>158</v>
      </c>
      <c r="E34" s="3" t="s">
        <v>159</v>
      </c>
      <c r="F34" s="3" t="s">
        <v>147</v>
      </c>
      <c r="G34" s="5">
        <v>217169</v>
      </c>
      <c r="H34" s="3" t="s">
        <v>36</v>
      </c>
      <c r="I34" s="3" t="s">
        <v>252</v>
      </c>
    </row>
    <row r="35" spans="2:9" ht="14.25" customHeight="1" x14ac:dyDescent="0.35">
      <c r="B35" s="3">
        <v>29</v>
      </c>
      <c r="C35" s="10" t="s">
        <v>92</v>
      </c>
      <c r="D35" s="3" t="s">
        <v>160</v>
      </c>
      <c r="E35" s="3" t="s">
        <v>161</v>
      </c>
      <c r="F35" s="3" t="s">
        <v>110</v>
      </c>
      <c r="G35" s="5">
        <v>165617</v>
      </c>
      <c r="H35" s="3" t="s">
        <v>36</v>
      </c>
      <c r="I35" s="3" t="s">
        <v>252</v>
      </c>
    </row>
    <row r="36" spans="2:9" ht="14.25" customHeight="1" x14ac:dyDescent="0.35">
      <c r="B36" s="3">
        <v>30</v>
      </c>
      <c r="C36" s="10" t="s">
        <v>92</v>
      </c>
      <c r="D36" s="3" t="s">
        <v>162</v>
      </c>
      <c r="E36" s="3" t="s">
        <v>163</v>
      </c>
      <c r="F36" s="3" t="s">
        <v>91</v>
      </c>
      <c r="G36" s="5">
        <v>189628</v>
      </c>
      <c r="H36" s="3" t="s">
        <v>251</v>
      </c>
      <c r="I36" s="3" t="s">
        <v>58</v>
      </c>
    </row>
    <row r="37" spans="2:9" ht="14.25" customHeight="1" x14ac:dyDescent="0.35">
      <c r="B37" s="3">
        <v>31</v>
      </c>
      <c r="C37" s="10" t="s">
        <v>92</v>
      </c>
      <c r="D37" s="3" t="s">
        <v>164</v>
      </c>
      <c r="E37" s="3" t="s">
        <v>165</v>
      </c>
      <c r="F37" s="3" t="s">
        <v>91</v>
      </c>
      <c r="G37" s="5">
        <v>121882</v>
      </c>
      <c r="H37" s="3" t="s">
        <v>36</v>
      </c>
      <c r="I37" s="3" t="s">
        <v>51</v>
      </c>
    </row>
    <row r="38" spans="2:9" ht="14.25" customHeight="1" x14ac:dyDescent="0.35">
      <c r="B38" s="3">
        <v>32</v>
      </c>
      <c r="C38" s="10" t="s">
        <v>92</v>
      </c>
      <c r="D38" s="3" t="s">
        <v>166</v>
      </c>
      <c r="E38" s="3" t="s">
        <v>167</v>
      </c>
      <c r="F38" s="3" t="s">
        <v>95</v>
      </c>
      <c r="G38" s="5">
        <v>273975</v>
      </c>
      <c r="H38" s="3" t="s">
        <v>14</v>
      </c>
      <c r="I38" s="3" t="s">
        <v>33</v>
      </c>
    </row>
    <row r="39" spans="2:9" ht="14.25" customHeight="1" x14ac:dyDescent="0.35">
      <c r="B39" s="3">
        <v>33</v>
      </c>
      <c r="C39" s="10" t="s">
        <v>92</v>
      </c>
      <c r="D39" s="3" t="s">
        <v>168</v>
      </c>
      <c r="E39" s="3" t="s">
        <v>169</v>
      </c>
      <c r="F39" s="3" t="s">
        <v>147</v>
      </c>
      <c r="G39" s="5">
        <v>224311</v>
      </c>
      <c r="H39" s="3" t="s">
        <v>14</v>
      </c>
      <c r="I39" s="3" t="s">
        <v>39</v>
      </c>
    </row>
    <row r="40" spans="2:9" ht="14.25" customHeight="1" x14ac:dyDescent="0.35">
      <c r="B40" s="3">
        <v>34</v>
      </c>
      <c r="C40" s="10" t="s">
        <v>92</v>
      </c>
      <c r="D40" s="3" t="s">
        <v>170</v>
      </c>
      <c r="E40" s="3" t="s">
        <v>171</v>
      </c>
      <c r="F40" s="3" t="s">
        <v>110</v>
      </c>
      <c r="G40" s="5">
        <v>153924</v>
      </c>
      <c r="H40" s="3" t="s">
        <v>251</v>
      </c>
      <c r="I40" s="3" t="s">
        <v>61</v>
      </c>
    </row>
    <row r="41" spans="2:9" ht="14.25" customHeight="1" x14ac:dyDescent="0.35">
      <c r="B41" s="3">
        <v>35</v>
      </c>
      <c r="C41" s="10" t="s">
        <v>92</v>
      </c>
      <c r="D41" s="3" t="s">
        <v>172</v>
      </c>
      <c r="E41" s="3" t="s">
        <v>173</v>
      </c>
      <c r="F41" s="3" t="s">
        <v>147</v>
      </c>
      <c r="G41" s="5">
        <v>225960</v>
      </c>
      <c r="H41" s="3" t="s">
        <v>251</v>
      </c>
      <c r="I41" s="3" t="s">
        <v>61</v>
      </c>
    </row>
    <row r="42" spans="2:9" ht="14.25" customHeight="1" x14ac:dyDescent="0.35">
      <c r="B42" s="3">
        <v>36</v>
      </c>
      <c r="C42" s="10" t="s">
        <v>92</v>
      </c>
      <c r="D42" s="3" t="s">
        <v>174</v>
      </c>
      <c r="E42" s="3" t="s">
        <v>175</v>
      </c>
      <c r="F42" s="3" t="s">
        <v>117</v>
      </c>
      <c r="G42" s="5">
        <v>294654</v>
      </c>
      <c r="H42" s="3" t="s">
        <v>14</v>
      </c>
      <c r="I42" s="3" t="s">
        <v>39</v>
      </c>
    </row>
    <row r="43" spans="2:9" ht="14.25" customHeight="1" x14ac:dyDescent="0.35">
      <c r="B43" s="3">
        <v>37</v>
      </c>
      <c r="C43" s="10" t="s">
        <v>92</v>
      </c>
      <c r="D43" s="3" t="s">
        <v>176</v>
      </c>
      <c r="E43" s="3" t="s">
        <v>177</v>
      </c>
      <c r="F43" s="3" t="s">
        <v>147</v>
      </c>
      <c r="G43" s="5">
        <v>104463</v>
      </c>
      <c r="H43" s="3" t="s">
        <v>14</v>
      </c>
      <c r="I43" s="3" t="s">
        <v>33</v>
      </c>
    </row>
    <row r="44" spans="2:9" ht="14.25" customHeight="1" x14ac:dyDescent="0.35">
      <c r="B44" s="3">
        <v>38</v>
      </c>
      <c r="C44" s="10" t="s">
        <v>92</v>
      </c>
      <c r="D44" s="3" t="s">
        <v>178</v>
      </c>
      <c r="E44" s="3" t="s">
        <v>179</v>
      </c>
      <c r="F44" s="3" t="s">
        <v>147</v>
      </c>
      <c r="G44" s="5">
        <v>170062</v>
      </c>
      <c r="H44" s="3" t="s">
        <v>14</v>
      </c>
      <c r="I44" s="3" t="s">
        <v>250</v>
      </c>
    </row>
    <row r="45" spans="2:9" ht="14.25" customHeight="1" x14ac:dyDescent="0.35">
      <c r="B45" s="3">
        <v>39</v>
      </c>
      <c r="C45" s="10" t="s">
        <v>92</v>
      </c>
      <c r="D45" s="3" t="s">
        <v>180</v>
      </c>
      <c r="E45" s="3" t="s">
        <v>181</v>
      </c>
      <c r="F45" s="3" t="s">
        <v>117</v>
      </c>
      <c r="G45" s="5">
        <v>220934</v>
      </c>
      <c r="H45" s="3" t="s">
        <v>14</v>
      </c>
      <c r="I45" s="3" t="s">
        <v>250</v>
      </c>
    </row>
    <row r="46" spans="2:9" ht="14.25" customHeight="1" x14ac:dyDescent="0.35">
      <c r="B46" s="3">
        <v>40</v>
      </c>
      <c r="C46" s="10" t="s">
        <v>92</v>
      </c>
      <c r="D46" s="3" t="s">
        <v>182</v>
      </c>
      <c r="E46" s="3" t="s">
        <v>183</v>
      </c>
      <c r="F46" s="3" t="s">
        <v>53</v>
      </c>
      <c r="G46" s="5">
        <v>371073</v>
      </c>
      <c r="H46" s="3" t="s">
        <v>14</v>
      </c>
      <c r="I46" s="3" t="s">
        <v>250</v>
      </c>
    </row>
    <row r="47" spans="2:9" ht="14.25" customHeight="1" x14ac:dyDescent="0.35">
      <c r="B47" s="3">
        <v>41</v>
      </c>
      <c r="C47" s="10" t="s">
        <v>92</v>
      </c>
      <c r="D47" s="3" t="s">
        <v>184</v>
      </c>
      <c r="E47" s="3" t="s">
        <v>185</v>
      </c>
      <c r="F47" s="3" t="s">
        <v>53</v>
      </c>
      <c r="G47" s="5">
        <v>334101</v>
      </c>
      <c r="H47" s="3" t="s">
        <v>14</v>
      </c>
      <c r="I47" s="3" t="s">
        <v>39</v>
      </c>
    </row>
    <row r="48" spans="2:9" ht="14.25" customHeight="1" x14ac:dyDescent="0.35">
      <c r="B48" s="3">
        <v>42</v>
      </c>
      <c r="C48" s="10" t="s">
        <v>92</v>
      </c>
      <c r="D48" s="3" t="s">
        <v>186</v>
      </c>
      <c r="E48" s="3" t="s">
        <v>187</v>
      </c>
      <c r="F48" s="3" t="s">
        <v>117</v>
      </c>
      <c r="G48" s="5">
        <v>361400</v>
      </c>
      <c r="H48" s="3" t="s">
        <v>14</v>
      </c>
      <c r="I48" s="3" t="s">
        <v>250</v>
      </c>
    </row>
    <row r="49" spans="2:9" ht="14.25" customHeight="1" x14ac:dyDescent="0.35">
      <c r="B49" s="3">
        <v>43</v>
      </c>
      <c r="C49" s="10" t="s">
        <v>96</v>
      </c>
      <c r="D49" s="3" t="s">
        <v>188</v>
      </c>
      <c r="E49" s="3" t="s">
        <v>189</v>
      </c>
      <c r="F49" s="3" t="s">
        <v>105</v>
      </c>
      <c r="G49" s="5">
        <v>243402</v>
      </c>
      <c r="H49" s="3" t="s">
        <v>14</v>
      </c>
      <c r="I49" s="3" t="s">
        <v>39</v>
      </c>
    </row>
    <row r="50" spans="2:9" ht="14.25" customHeight="1" x14ac:dyDescent="0.35">
      <c r="B50" s="3">
        <v>44</v>
      </c>
      <c r="C50" s="10" t="s">
        <v>96</v>
      </c>
      <c r="D50" s="3" t="s">
        <v>190</v>
      </c>
      <c r="E50" s="3" t="s">
        <v>191</v>
      </c>
      <c r="F50" s="3" t="s">
        <v>117</v>
      </c>
      <c r="G50" s="5">
        <v>365070</v>
      </c>
      <c r="H50" s="3" t="s">
        <v>14</v>
      </c>
      <c r="I50" s="3" t="s">
        <v>39</v>
      </c>
    </row>
    <row r="51" spans="2:9" ht="14.25" customHeight="1" x14ac:dyDescent="0.35">
      <c r="B51" s="3">
        <v>45</v>
      </c>
      <c r="C51" s="10" t="s">
        <v>96</v>
      </c>
      <c r="D51" s="3" t="s">
        <v>192</v>
      </c>
      <c r="E51" s="3" t="s">
        <v>193</v>
      </c>
      <c r="F51" s="3" t="s">
        <v>117</v>
      </c>
      <c r="G51" s="5">
        <v>164880</v>
      </c>
      <c r="H51" s="3" t="s">
        <v>36</v>
      </c>
      <c r="I51" s="3" t="s">
        <v>51</v>
      </c>
    </row>
    <row r="52" spans="2:9" ht="14.25" customHeight="1" x14ac:dyDescent="0.35">
      <c r="B52" s="3">
        <v>46</v>
      </c>
      <c r="C52" s="10" t="s">
        <v>96</v>
      </c>
      <c r="D52" s="3" t="s">
        <v>194</v>
      </c>
      <c r="E52" s="3" t="s">
        <v>195</v>
      </c>
      <c r="F52" s="3" t="s">
        <v>53</v>
      </c>
      <c r="G52" s="5">
        <v>333776</v>
      </c>
      <c r="H52" s="3" t="s">
        <v>14</v>
      </c>
      <c r="I52" s="3" t="s">
        <v>39</v>
      </c>
    </row>
    <row r="53" spans="2:9" ht="14.25" customHeight="1" x14ac:dyDescent="0.35">
      <c r="B53" s="3">
        <v>47</v>
      </c>
      <c r="C53" s="10" t="s">
        <v>96</v>
      </c>
      <c r="D53" s="3" t="s">
        <v>196</v>
      </c>
      <c r="E53" s="3" t="s">
        <v>197</v>
      </c>
      <c r="F53" s="3" t="s">
        <v>147</v>
      </c>
      <c r="G53" s="5">
        <v>161983</v>
      </c>
      <c r="H53" s="3" t="s">
        <v>251</v>
      </c>
      <c r="I53" s="3" t="s">
        <v>58</v>
      </c>
    </row>
    <row r="54" spans="2:9" ht="14.25" customHeight="1" x14ac:dyDescent="0.35">
      <c r="B54" s="3">
        <v>48</v>
      </c>
      <c r="C54" s="10" t="s">
        <v>96</v>
      </c>
      <c r="D54" s="3" t="s">
        <v>198</v>
      </c>
      <c r="E54" s="3" t="s">
        <v>199</v>
      </c>
      <c r="F54" s="3" t="s">
        <v>117</v>
      </c>
      <c r="G54" s="5">
        <v>305931</v>
      </c>
      <c r="H54" s="3" t="s">
        <v>14</v>
      </c>
      <c r="I54" s="3" t="s">
        <v>33</v>
      </c>
    </row>
    <row r="55" spans="2:9" ht="14.25" customHeight="1" x14ac:dyDescent="0.35">
      <c r="B55" s="3">
        <v>49</v>
      </c>
      <c r="C55" s="10" t="s">
        <v>96</v>
      </c>
      <c r="D55" s="3" t="s">
        <v>200</v>
      </c>
      <c r="E55" s="3" t="s">
        <v>201</v>
      </c>
      <c r="F55" s="3" t="s">
        <v>105</v>
      </c>
      <c r="G55" s="5">
        <v>186821</v>
      </c>
      <c r="H55" s="3" t="s">
        <v>251</v>
      </c>
      <c r="I55" s="3" t="s">
        <v>58</v>
      </c>
    </row>
    <row r="56" spans="2:9" ht="14.25" customHeight="1" x14ac:dyDescent="0.35">
      <c r="B56" s="3">
        <v>50</v>
      </c>
      <c r="C56" s="10" t="s">
        <v>96</v>
      </c>
      <c r="D56" s="3" t="s">
        <v>202</v>
      </c>
      <c r="E56" s="3" t="s">
        <v>203</v>
      </c>
      <c r="F56" s="3" t="s">
        <v>95</v>
      </c>
      <c r="G56" s="5">
        <v>188589</v>
      </c>
      <c r="H56" s="3" t="s">
        <v>14</v>
      </c>
      <c r="I56" s="3" t="s">
        <v>33</v>
      </c>
    </row>
    <row r="57" spans="2:9" ht="14.25" customHeight="1" x14ac:dyDescent="0.35">
      <c r="I57" s="1"/>
    </row>
    <row r="58" spans="2:9" ht="14.25" customHeight="1" x14ac:dyDescent="0.35">
      <c r="I58" s="1"/>
    </row>
    <row r="59" spans="2:9" ht="14.25" customHeight="1" x14ac:dyDescent="0.35">
      <c r="I59" s="1"/>
    </row>
    <row r="60" spans="2:9" ht="14.25" customHeight="1" x14ac:dyDescent="0.35">
      <c r="I60" s="1"/>
    </row>
    <row r="61" spans="2:9" ht="14.25" customHeight="1" x14ac:dyDescent="0.35">
      <c r="I61" s="1"/>
    </row>
    <row r="62" spans="2:9" ht="14.25" customHeight="1" x14ac:dyDescent="0.35">
      <c r="I62" s="1"/>
    </row>
    <row r="63" spans="2:9" ht="14.25" customHeight="1" x14ac:dyDescent="0.35">
      <c r="I63" s="1"/>
    </row>
    <row r="64" spans="2:9" ht="14.25" customHeight="1" x14ac:dyDescent="0.35">
      <c r="I64" s="1"/>
    </row>
    <row r="65" spans="9:9" ht="14.25" customHeight="1" x14ac:dyDescent="0.35">
      <c r="I65" s="1"/>
    </row>
    <row r="66" spans="9:9" ht="14.25" customHeight="1" x14ac:dyDescent="0.35">
      <c r="I66" s="1"/>
    </row>
    <row r="67" spans="9:9" ht="14.25" customHeight="1" x14ac:dyDescent="0.35">
      <c r="I67" s="1"/>
    </row>
    <row r="68" spans="9:9" ht="14.25" customHeight="1" x14ac:dyDescent="0.35">
      <c r="I68" s="1"/>
    </row>
    <row r="69" spans="9:9" ht="14.25" customHeight="1" x14ac:dyDescent="0.35">
      <c r="I69" s="1"/>
    </row>
    <row r="70" spans="9:9" ht="14.25" customHeight="1" x14ac:dyDescent="0.35">
      <c r="I70" s="1"/>
    </row>
    <row r="71" spans="9:9" ht="14.25" customHeight="1" x14ac:dyDescent="0.35">
      <c r="I71" s="1"/>
    </row>
    <row r="72" spans="9:9" ht="14.25" customHeight="1" x14ac:dyDescent="0.35">
      <c r="I72" s="1"/>
    </row>
    <row r="73" spans="9:9" ht="14.25" customHeight="1" x14ac:dyDescent="0.35">
      <c r="I73" s="1"/>
    </row>
    <row r="74" spans="9:9" ht="14.25" customHeight="1" x14ac:dyDescent="0.35">
      <c r="I74" s="1"/>
    </row>
    <row r="75" spans="9:9" ht="14.25" customHeight="1" x14ac:dyDescent="0.35">
      <c r="I75" s="1"/>
    </row>
    <row r="76" spans="9:9" ht="14.25" customHeight="1" x14ac:dyDescent="0.35">
      <c r="I76" s="1"/>
    </row>
    <row r="77" spans="9:9" ht="14.25" customHeight="1" x14ac:dyDescent="0.35">
      <c r="I77" s="1"/>
    </row>
    <row r="78" spans="9:9" ht="14.25" customHeight="1" x14ac:dyDescent="0.35">
      <c r="I78" s="1"/>
    </row>
    <row r="79" spans="9:9" ht="14.25" customHeight="1" x14ac:dyDescent="0.35">
      <c r="I79" s="1"/>
    </row>
    <row r="80" spans="9:9" ht="14.25" customHeight="1" x14ac:dyDescent="0.35">
      <c r="I80" s="1"/>
    </row>
    <row r="81" spans="9:9" ht="14.25" customHeight="1" x14ac:dyDescent="0.35">
      <c r="I81" s="1"/>
    </row>
    <row r="82" spans="9:9" ht="14.25" customHeight="1" x14ac:dyDescent="0.35">
      <c r="I82" s="1"/>
    </row>
    <row r="83" spans="9:9" ht="14.25" customHeight="1" x14ac:dyDescent="0.35">
      <c r="I83" s="1"/>
    </row>
    <row r="84" spans="9:9" ht="14.25" customHeight="1" x14ac:dyDescent="0.35">
      <c r="I84" s="1"/>
    </row>
    <row r="85" spans="9:9" ht="14.25" customHeight="1" x14ac:dyDescent="0.35">
      <c r="I85" s="1"/>
    </row>
    <row r="86" spans="9:9" ht="14.25" customHeight="1" x14ac:dyDescent="0.35">
      <c r="I86" s="1"/>
    </row>
    <row r="87" spans="9:9" ht="14.25" customHeight="1" x14ac:dyDescent="0.35">
      <c r="I87" s="1"/>
    </row>
    <row r="88" spans="9:9" ht="14.25" customHeight="1" x14ac:dyDescent="0.35">
      <c r="I88" s="1"/>
    </row>
    <row r="89" spans="9:9" ht="14.25" customHeight="1" x14ac:dyDescent="0.35">
      <c r="I89" s="1"/>
    </row>
    <row r="90" spans="9:9" ht="14.25" customHeight="1" x14ac:dyDescent="0.35">
      <c r="I90" s="1"/>
    </row>
    <row r="91" spans="9:9" ht="14.25" customHeight="1" x14ac:dyDescent="0.35">
      <c r="I91" s="1"/>
    </row>
    <row r="92" spans="9:9" ht="14.25" customHeight="1" x14ac:dyDescent="0.35">
      <c r="I92" s="1"/>
    </row>
    <row r="93" spans="9:9" ht="14.25" customHeight="1" x14ac:dyDescent="0.35">
      <c r="I93" s="1"/>
    </row>
    <row r="94" spans="9:9" ht="14.25" customHeight="1" x14ac:dyDescent="0.35">
      <c r="I94" s="1"/>
    </row>
    <row r="95" spans="9:9" ht="14.25" customHeight="1" x14ac:dyDescent="0.35">
      <c r="I95" s="1"/>
    </row>
    <row r="96" spans="9:9" ht="14.25" customHeight="1" x14ac:dyDescent="0.35">
      <c r="I96" s="1"/>
    </row>
    <row r="97" spans="9:9" ht="14.25" customHeight="1" x14ac:dyDescent="0.35">
      <c r="I97" s="1"/>
    </row>
    <row r="98" spans="9:9" ht="14.25" customHeight="1" x14ac:dyDescent="0.35">
      <c r="I98" s="1"/>
    </row>
    <row r="99" spans="9:9" ht="14.25" customHeight="1" x14ac:dyDescent="0.35">
      <c r="I99" s="1"/>
    </row>
    <row r="100" spans="9:9" ht="14.25" customHeight="1" x14ac:dyDescent="0.35">
      <c r="I100" s="1"/>
    </row>
    <row r="101" spans="9:9" ht="14.25" customHeight="1" x14ac:dyDescent="0.35">
      <c r="I101" s="1"/>
    </row>
    <row r="102" spans="9:9" ht="14.25" customHeight="1" x14ac:dyDescent="0.35">
      <c r="I102" s="1"/>
    </row>
    <row r="103" spans="9:9" ht="14.25" customHeight="1" x14ac:dyDescent="0.35">
      <c r="I103" s="1"/>
    </row>
    <row r="104" spans="9:9" ht="14.25" customHeight="1" x14ac:dyDescent="0.35">
      <c r="I104" s="1"/>
    </row>
    <row r="105" spans="9:9" ht="14.25" customHeight="1" x14ac:dyDescent="0.35">
      <c r="I105" s="1"/>
    </row>
    <row r="106" spans="9:9" ht="14.25" customHeight="1" x14ac:dyDescent="0.35">
      <c r="I106" s="1"/>
    </row>
    <row r="107" spans="9:9" ht="14.25" customHeight="1" x14ac:dyDescent="0.35">
      <c r="I107" s="1"/>
    </row>
    <row r="108" spans="9:9" ht="14.25" customHeight="1" x14ac:dyDescent="0.35">
      <c r="I108" s="1"/>
    </row>
    <row r="109" spans="9:9" ht="14.25" customHeight="1" x14ac:dyDescent="0.35">
      <c r="I109" s="1"/>
    </row>
    <row r="110" spans="9:9" ht="14.25" customHeight="1" x14ac:dyDescent="0.35">
      <c r="I110" s="1"/>
    </row>
    <row r="111" spans="9:9" ht="14.25" customHeight="1" x14ac:dyDescent="0.35">
      <c r="I111" s="1"/>
    </row>
    <row r="112" spans="9:9" ht="14.25" customHeight="1" x14ac:dyDescent="0.35">
      <c r="I112" s="1"/>
    </row>
    <row r="113" spans="9:9" ht="14.25" customHeight="1" x14ac:dyDescent="0.35">
      <c r="I113" s="1"/>
    </row>
    <row r="114" spans="9:9" ht="14.25" customHeight="1" x14ac:dyDescent="0.35">
      <c r="I114" s="1"/>
    </row>
    <row r="115" spans="9:9" ht="14.25" customHeight="1" x14ac:dyDescent="0.35">
      <c r="I115" s="1"/>
    </row>
    <row r="116" spans="9:9" ht="14.25" customHeight="1" x14ac:dyDescent="0.35">
      <c r="I116" s="1"/>
    </row>
    <row r="117" spans="9:9" ht="14.25" customHeight="1" x14ac:dyDescent="0.35">
      <c r="I117" s="1"/>
    </row>
    <row r="118" spans="9:9" ht="14.25" customHeight="1" x14ac:dyDescent="0.35">
      <c r="I118" s="1"/>
    </row>
    <row r="119" spans="9:9" ht="14.25" customHeight="1" x14ac:dyDescent="0.35">
      <c r="I119" s="1"/>
    </row>
    <row r="120" spans="9:9" ht="14.25" customHeight="1" x14ac:dyDescent="0.35">
      <c r="I120" s="1"/>
    </row>
    <row r="121" spans="9:9" ht="14.25" customHeight="1" x14ac:dyDescent="0.35">
      <c r="I121" s="1"/>
    </row>
    <row r="122" spans="9:9" ht="14.25" customHeight="1" x14ac:dyDescent="0.35">
      <c r="I122" s="1"/>
    </row>
    <row r="123" spans="9:9" ht="14.25" customHeight="1" x14ac:dyDescent="0.35">
      <c r="I123" s="1"/>
    </row>
    <row r="124" spans="9:9" ht="14.25" customHeight="1" x14ac:dyDescent="0.35">
      <c r="I124" s="1"/>
    </row>
    <row r="125" spans="9:9" ht="14.25" customHeight="1" x14ac:dyDescent="0.35">
      <c r="I125" s="1"/>
    </row>
    <row r="126" spans="9:9" ht="14.25" customHeight="1" x14ac:dyDescent="0.35">
      <c r="I126" s="1"/>
    </row>
    <row r="127" spans="9:9" ht="14.25" customHeight="1" x14ac:dyDescent="0.35">
      <c r="I127" s="1"/>
    </row>
    <row r="128" spans="9:9" ht="14.25" customHeight="1" x14ac:dyDescent="0.35">
      <c r="I128" s="1"/>
    </row>
    <row r="129" spans="9:9" ht="14.25" customHeight="1" x14ac:dyDescent="0.35">
      <c r="I129" s="1"/>
    </row>
    <row r="130" spans="9:9" ht="14.25" customHeight="1" x14ac:dyDescent="0.35">
      <c r="I130" s="1"/>
    </row>
    <row r="131" spans="9:9" ht="14.25" customHeight="1" x14ac:dyDescent="0.35">
      <c r="I131" s="1"/>
    </row>
    <row r="132" spans="9:9" ht="14.25" customHeight="1" x14ac:dyDescent="0.35">
      <c r="I132" s="1"/>
    </row>
    <row r="133" spans="9:9" ht="14.25" customHeight="1" x14ac:dyDescent="0.35">
      <c r="I133" s="1"/>
    </row>
    <row r="134" spans="9:9" ht="14.25" customHeight="1" x14ac:dyDescent="0.35">
      <c r="I134" s="1"/>
    </row>
    <row r="135" spans="9:9" ht="14.25" customHeight="1" x14ac:dyDescent="0.35">
      <c r="I135" s="1"/>
    </row>
    <row r="136" spans="9:9" ht="14.25" customHeight="1" x14ac:dyDescent="0.35">
      <c r="I136" s="1"/>
    </row>
    <row r="137" spans="9:9" ht="14.25" customHeight="1" x14ac:dyDescent="0.35">
      <c r="I137" s="1"/>
    </row>
    <row r="138" spans="9:9" ht="14.25" customHeight="1" x14ac:dyDescent="0.35">
      <c r="I138" s="1"/>
    </row>
    <row r="139" spans="9:9" ht="14.25" customHeight="1" x14ac:dyDescent="0.35">
      <c r="I139" s="1"/>
    </row>
    <row r="140" spans="9:9" ht="14.25" customHeight="1" x14ac:dyDescent="0.35">
      <c r="I140" s="1"/>
    </row>
    <row r="141" spans="9:9" ht="14.25" customHeight="1" x14ac:dyDescent="0.35">
      <c r="I141" s="1"/>
    </row>
    <row r="142" spans="9:9" ht="14.25" customHeight="1" x14ac:dyDescent="0.35">
      <c r="I142" s="1"/>
    </row>
    <row r="143" spans="9:9" ht="14.25" customHeight="1" x14ac:dyDescent="0.35">
      <c r="I143" s="1"/>
    </row>
    <row r="144" spans="9:9" ht="14.25" customHeight="1" x14ac:dyDescent="0.35">
      <c r="I144" s="1"/>
    </row>
    <row r="145" spans="9:9" ht="14.25" customHeight="1" x14ac:dyDescent="0.35">
      <c r="I145" s="1"/>
    </row>
    <row r="146" spans="9:9" ht="14.25" customHeight="1" x14ac:dyDescent="0.35">
      <c r="I146" s="1"/>
    </row>
    <row r="147" spans="9:9" ht="14.25" customHeight="1" x14ac:dyDescent="0.35">
      <c r="I147" s="1"/>
    </row>
    <row r="148" spans="9:9" ht="14.25" customHeight="1" x14ac:dyDescent="0.35">
      <c r="I148" s="1"/>
    </row>
    <row r="149" spans="9:9" ht="14.25" customHeight="1" x14ac:dyDescent="0.35">
      <c r="I149" s="1"/>
    </row>
    <row r="150" spans="9:9" ht="14.25" customHeight="1" x14ac:dyDescent="0.35">
      <c r="I150" s="1"/>
    </row>
    <row r="151" spans="9:9" ht="14.25" customHeight="1" x14ac:dyDescent="0.35">
      <c r="I151" s="1"/>
    </row>
    <row r="152" spans="9:9" ht="14.25" customHeight="1" x14ac:dyDescent="0.35">
      <c r="I152" s="1"/>
    </row>
    <row r="153" spans="9:9" ht="14.25" customHeight="1" x14ac:dyDescent="0.35">
      <c r="I153" s="1"/>
    </row>
    <row r="154" spans="9:9" ht="14.25" customHeight="1" x14ac:dyDescent="0.35">
      <c r="I154" s="1"/>
    </row>
    <row r="155" spans="9:9" ht="14.25" customHeight="1" x14ac:dyDescent="0.35">
      <c r="I155" s="1"/>
    </row>
    <row r="156" spans="9:9" ht="14.25" customHeight="1" x14ac:dyDescent="0.35">
      <c r="I156" s="1"/>
    </row>
    <row r="157" spans="9:9" ht="14.25" customHeight="1" x14ac:dyDescent="0.35">
      <c r="I157" s="1"/>
    </row>
    <row r="158" spans="9:9" ht="14.25" customHeight="1" x14ac:dyDescent="0.35">
      <c r="I158" s="1"/>
    </row>
    <row r="159" spans="9:9" ht="14.25" customHeight="1" x14ac:dyDescent="0.35">
      <c r="I159" s="1"/>
    </row>
    <row r="160" spans="9:9" ht="14.25" customHeight="1" x14ac:dyDescent="0.35">
      <c r="I160" s="1"/>
    </row>
    <row r="161" spans="9:9" ht="14.25" customHeight="1" x14ac:dyDescent="0.35">
      <c r="I161" s="1"/>
    </row>
    <row r="162" spans="9:9" ht="14.25" customHeight="1" x14ac:dyDescent="0.35">
      <c r="I162" s="1"/>
    </row>
    <row r="163" spans="9:9" ht="14.25" customHeight="1" x14ac:dyDescent="0.35">
      <c r="I163" s="1"/>
    </row>
    <row r="164" spans="9:9" ht="14.25" customHeight="1" x14ac:dyDescent="0.35">
      <c r="I164" s="1"/>
    </row>
    <row r="165" spans="9:9" ht="14.25" customHeight="1" x14ac:dyDescent="0.35">
      <c r="I165" s="1"/>
    </row>
    <row r="166" spans="9:9" ht="14.25" customHeight="1" x14ac:dyDescent="0.35">
      <c r="I166" s="1"/>
    </row>
    <row r="167" spans="9:9" ht="14.25" customHeight="1" x14ac:dyDescent="0.35">
      <c r="I167" s="1"/>
    </row>
    <row r="168" spans="9:9" ht="14.25" customHeight="1" x14ac:dyDescent="0.35">
      <c r="I168" s="1"/>
    </row>
    <row r="169" spans="9:9" ht="14.25" customHeight="1" x14ac:dyDescent="0.35">
      <c r="I169" s="1"/>
    </row>
    <row r="170" spans="9:9" ht="14.25" customHeight="1" x14ac:dyDescent="0.35">
      <c r="I170" s="1"/>
    </row>
    <row r="171" spans="9:9" ht="14.25" customHeight="1" x14ac:dyDescent="0.35">
      <c r="I171" s="1"/>
    </row>
    <row r="172" spans="9:9" ht="14.25" customHeight="1" x14ac:dyDescent="0.35">
      <c r="I172" s="1"/>
    </row>
    <row r="173" spans="9:9" ht="14.25" customHeight="1" x14ac:dyDescent="0.35">
      <c r="I173" s="1"/>
    </row>
    <row r="174" spans="9:9" ht="14.25" customHeight="1" x14ac:dyDescent="0.35">
      <c r="I174" s="1"/>
    </row>
    <row r="175" spans="9:9" ht="14.25" customHeight="1" x14ac:dyDescent="0.35">
      <c r="I175" s="1"/>
    </row>
    <row r="176" spans="9:9" ht="14.25" customHeight="1" x14ac:dyDescent="0.35">
      <c r="I176" s="1"/>
    </row>
    <row r="177" spans="9:9" ht="14.25" customHeight="1" x14ac:dyDescent="0.35">
      <c r="I177" s="1"/>
    </row>
    <row r="178" spans="9:9" ht="14.25" customHeight="1" x14ac:dyDescent="0.35">
      <c r="I178" s="1"/>
    </row>
    <row r="179" spans="9:9" ht="14.25" customHeight="1" x14ac:dyDescent="0.35">
      <c r="I179" s="1"/>
    </row>
    <row r="180" spans="9:9" ht="14.25" customHeight="1" x14ac:dyDescent="0.35">
      <c r="I180" s="1"/>
    </row>
    <row r="181" spans="9:9" ht="14.25" customHeight="1" x14ac:dyDescent="0.35">
      <c r="I181" s="1"/>
    </row>
    <row r="182" spans="9:9" ht="14.25" customHeight="1" x14ac:dyDescent="0.35">
      <c r="I182" s="1"/>
    </row>
    <row r="183" spans="9:9" ht="14.25" customHeight="1" x14ac:dyDescent="0.35">
      <c r="I183" s="1"/>
    </row>
    <row r="184" spans="9:9" ht="14.25" customHeight="1" x14ac:dyDescent="0.35">
      <c r="I184" s="1"/>
    </row>
    <row r="185" spans="9:9" ht="14.25" customHeight="1" x14ac:dyDescent="0.35">
      <c r="I185" s="1"/>
    </row>
    <row r="186" spans="9:9" ht="14.25" customHeight="1" x14ac:dyDescent="0.35">
      <c r="I186" s="1"/>
    </row>
    <row r="187" spans="9:9" ht="14.25" customHeight="1" x14ac:dyDescent="0.35">
      <c r="I187" s="1"/>
    </row>
    <row r="188" spans="9:9" ht="14.25" customHeight="1" x14ac:dyDescent="0.35">
      <c r="I188" s="1"/>
    </row>
    <row r="189" spans="9:9" ht="14.25" customHeight="1" x14ac:dyDescent="0.35">
      <c r="I189" s="1"/>
    </row>
    <row r="190" spans="9:9" ht="14.25" customHeight="1" x14ac:dyDescent="0.35">
      <c r="I190" s="1"/>
    </row>
    <row r="191" spans="9:9" ht="14.25" customHeight="1" x14ac:dyDescent="0.35">
      <c r="I191" s="1"/>
    </row>
    <row r="192" spans="9:9" ht="14.25" customHeight="1" x14ac:dyDescent="0.35">
      <c r="I192" s="1"/>
    </row>
    <row r="193" spans="9:9" ht="14.25" customHeight="1" x14ac:dyDescent="0.35">
      <c r="I193" s="1"/>
    </row>
    <row r="194" spans="9:9" ht="14.25" customHeight="1" x14ac:dyDescent="0.35">
      <c r="I194" s="1"/>
    </row>
    <row r="195" spans="9:9" ht="14.25" customHeight="1" x14ac:dyDescent="0.35">
      <c r="I195" s="1"/>
    </row>
    <row r="196" spans="9:9" ht="14.25" customHeight="1" x14ac:dyDescent="0.35">
      <c r="I196" s="1"/>
    </row>
    <row r="197" spans="9:9" ht="14.25" customHeight="1" x14ac:dyDescent="0.35">
      <c r="I197" s="1"/>
    </row>
    <row r="198" spans="9:9" ht="14.25" customHeight="1" x14ac:dyDescent="0.35">
      <c r="I198" s="1"/>
    </row>
    <row r="199" spans="9:9" ht="14.25" customHeight="1" x14ac:dyDescent="0.35">
      <c r="I199" s="1"/>
    </row>
    <row r="200" spans="9:9" ht="14.25" customHeight="1" x14ac:dyDescent="0.35">
      <c r="I200" s="1"/>
    </row>
    <row r="201" spans="9:9" ht="14.25" customHeight="1" x14ac:dyDescent="0.35">
      <c r="I201" s="1"/>
    </row>
    <row r="202" spans="9:9" ht="14.25" customHeight="1" x14ac:dyDescent="0.35">
      <c r="I202" s="1"/>
    </row>
    <row r="203" spans="9:9" ht="14.25" customHeight="1" x14ac:dyDescent="0.35">
      <c r="I203" s="1"/>
    </row>
    <row r="204" spans="9:9" ht="14.25" customHeight="1" x14ac:dyDescent="0.35">
      <c r="I204" s="1"/>
    </row>
    <row r="205" spans="9:9" ht="14.25" customHeight="1" x14ac:dyDescent="0.35">
      <c r="I205" s="1"/>
    </row>
    <row r="206" spans="9:9" ht="14.25" customHeight="1" x14ac:dyDescent="0.35">
      <c r="I206" s="1"/>
    </row>
    <row r="207" spans="9:9" ht="14.25" customHeight="1" x14ac:dyDescent="0.35">
      <c r="I207" s="1"/>
    </row>
    <row r="208" spans="9:9" ht="14.25" customHeight="1" x14ac:dyDescent="0.35">
      <c r="I208" s="1"/>
    </row>
    <row r="209" spans="9:9" ht="14.25" customHeight="1" x14ac:dyDescent="0.35">
      <c r="I209" s="1"/>
    </row>
    <row r="210" spans="9:9" ht="14.25" customHeight="1" x14ac:dyDescent="0.35">
      <c r="I210" s="1"/>
    </row>
    <row r="211" spans="9:9" ht="14.25" customHeight="1" x14ac:dyDescent="0.35">
      <c r="I211" s="1"/>
    </row>
    <row r="212" spans="9:9" ht="14.25" customHeight="1" x14ac:dyDescent="0.35">
      <c r="I212" s="1"/>
    </row>
    <row r="213" spans="9:9" ht="14.25" customHeight="1" x14ac:dyDescent="0.35">
      <c r="I213" s="1"/>
    </row>
    <row r="214" spans="9:9" ht="14.25" customHeight="1" x14ac:dyDescent="0.35">
      <c r="I214" s="1"/>
    </row>
    <row r="215" spans="9:9" ht="14.25" customHeight="1" x14ac:dyDescent="0.35">
      <c r="I215" s="1"/>
    </row>
    <row r="216" spans="9:9" ht="14.25" customHeight="1" x14ac:dyDescent="0.35">
      <c r="I216" s="1"/>
    </row>
    <row r="217" spans="9:9" ht="14.25" customHeight="1" x14ac:dyDescent="0.35">
      <c r="I217" s="1"/>
    </row>
    <row r="218" spans="9:9" ht="14.25" customHeight="1" x14ac:dyDescent="0.35">
      <c r="I218" s="1"/>
    </row>
    <row r="219" spans="9:9" ht="14.25" customHeight="1" x14ac:dyDescent="0.35">
      <c r="I219" s="1"/>
    </row>
    <row r="220" spans="9:9" ht="14.25" customHeight="1" x14ac:dyDescent="0.35">
      <c r="I220" s="1"/>
    </row>
    <row r="221" spans="9:9" ht="14.25" customHeight="1" x14ac:dyDescent="0.35">
      <c r="I221" s="1"/>
    </row>
    <row r="222" spans="9:9" ht="14.25" customHeight="1" x14ac:dyDescent="0.35">
      <c r="I222" s="1"/>
    </row>
    <row r="223" spans="9:9" ht="14.25" customHeight="1" x14ac:dyDescent="0.35">
      <c r="I223" s="1"/>
    </row>
    <row r="224" spans="9:9" ht="14.25" customHeight="1" x14ac:dyDescent="0.35">
      <c r="I224" s="1"/>
    </row>
    <row r="225" spans="9:9" ht="14.25" customHeight="1" x14ac:dyDescent="0.35">
      <c r="I225" s="1"/>
    </row>
    <row r="226" spans="9:9" ht="14.25" customHeight="1" x14ac:dyDescent="0.35">
      <c r="I226" s="1"/>
    </row>
    <row r="227" spans="9:9" ht="14.25" customHeight="1" x14ac:dyDescent="0.35">
      <c r="I227" s="1"/>
    </row>
    <row r="228" spans="9:9" ht="14.25" customHeight="1" x14ac:dyDescent="0.35">
      <c r="I228" s="1"/>
    </row>
    <row r="229" spans="9:9" ht="14.25" customHeight="1" x14ac:dyDescent="0.35">
      <c r="I229" s="1"/>
    </row>
    <row r="230" spans="9:9" ht="14.25" customHeight="1" x14ac:dyDescent="0.35">
      <c r="I230" s="1"/>
    </row>
    <row r="231" spans="9:9" ht="14.25" customHeight="1" x14ac:dyDescent="0.35">
      <c r="I231" s="1"/>
    </row>
    <row r="232" spans="9:9" ht="14.25" customHeight="1" x14ac:dyDescent="0.35">
      <c r="I232" s="1"/>
    </row>
    <row r="233" spans="9:9" ht="14.25" customHeight="1" x14ac:dyDescent="0.35">
      <c r="I233" s="1"/>
    </row>
    <row r="234" spans="9:9" ht="14.25" customHeight="1" x14ac:dyDescent="0.35">
      <c r="I234" s="1"/>
    </row>
    <row r="235" spans="9:9" ht="14.25" customHeight="1" x14ac:dyDescent="0.35">
      <c r="I235" s="1"/>
    </row>
    <row r="236" spans="9:9" ht="14.25" customHeight="1" x14ac:dyDescent="0.35">
      <c r="I236" s="1"/>
    </row>
    <row r="237" spans="9:9" ht="14.25" customHeight="1" x14ac:dyDescent="0.35">
      <c r="I237" s="1"/>
    </row>
    <row r="238" spans="9:9" ht="14.25" customHeight="1" x14ac:dyDescent="0.35">
      <c r="I238" s="1"/>
    </row>
    <row r="239" spans="9:9" ht="14.25" customHeight="1" x14ac:dyDescent="0.35">
      <c r="I239" s="1"/>
    </row>
    <row r="240" spans="9:9" ht="14.25" customHeight="1" x14ac:dyDescent="0.35">
      <c r="I240" s="1"/>
    </row>
    <row r="241" spans="9:9" ht="14.25" customHeight="1" x14ac:dyDescent="0.35">
      <c r="I241" s="1"/>
    </row>
    <row r="242" spans="9:9" ht="14.25" customHeight="1" x14ac:dyDescent="0.35">
      <c r="I242" s="1"/>
    </row>
    <row r="243" spans="9:9" ht="14.25" customHeight="1" x14ac:dyDescent="0.35">
      <c r="I243" s="1"/>
    </row>
    <row r="244" spans="9:9" ht="14.25" customHeight="1" x14ac:dyDescent="0.35">
      <c r="I244" s="1"/>
    </row>
    <row r="245" spans="9:9" ht="14.25" customHeight="1" x14ac:dyDescent="0.35">
      <c r="I245" s="1"/>
    </row>
    <row r="246" spans="9:9" ht="14.25" customHeight="1" x14ac:dyDescent="0.35">
      <c r="I246" s="1"/>
    </row>
    <row r="247" spans="9:9" ht="14.25" customHeight="1" x14ac:dyDescent="0.35">
      <c r="I247" s="1"/>
    </row>
    <row r="248" spans="9:9" ht="14.25" customHeight="1" x14ac:dyDescent="0.35">
      <c r="I248" s="1"/>
    </row>
    <row r="249" spans="9:9" ht="14.25" customHeight="1" x14ac:dyDescent="0.35">
      <c r="I249" s="1"/>
    </row>
    <row r="250" spans="9:9" ht="14.25" customHeight="1" x14ac:dyDescent="0.35">
      <c r="I250" s="1"/>
    </row>
    <row r="251" spans="9:9" ht="14.25" customHeight="1" x14ac:dyDescent="0.35">
      <c r="I251" s="1"/>
    </row>
    <row r="252" spans="9:9" ht="14.25" customHeight="1" x14ac:dyDescent="0.35">
      <c r="I252" s="1"/>
    </row>
    <row r="253" spans="9:9" ht="14.25" customHeight="1" x14ac:dyDescent="0.35">
      <c r="I253" s="1"/>
    </row>
    <row r="254" spans="9:9" ht="14.25" customHeight="1" x14ac:dyDescent="0.35">
      <c r="I254" s="1"/>
    </row>
    <row r="255" spans="9:9" ht="14.25" customHeight="1" x14ac:dyDescent="0.35">
      <c r="I255" s="1"/>
    </row>
    <row r="256" spans="9:9" ht="14.25" customHeight="1" x14ac:dyDescent="0.35">
      <c r="I256" s="1"/>
    </row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B6:I56" xr:uid="{00000000-0009-0000-0000-000004000000}"/>
  <mergeCells count="1">
    <mergeCell ref="B5:I5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J1000"/>
  <sheetViews>
    <sheetView showGridLines="0" workbookViewId="0"/>
  </sheetViews>
  <sheetFormatPr defaultColWidth="14.453125" defaultRowHeight="15" customHeight="1" x14ac:dyDescent="0.35"/>
  <cols>
    <col min="1" max="2" width="8.7265625" customWidth="1"/>
    <col min="3" max="3" width="4" customWidth="1"/>
    <col min="4" max="4" width="9.26953125" customWidth="1"/>
    <col min="5" max="5" width="13.453125" customWidth="1"/>
    <col min="6" max="6" width="19.453125" customWidth="1"/>
    <col min="7" max="7" width="9.81640625" customWidth="1"/>
    <col min="8" max="8" width="11" customWidth="1"/>
    <col min="9" max="9" width="15.7265625" customWidth="1"/>
    <col min="10" max="10" width="15.453125" customWidth="1"/>
  </cols>
  <sheetData>
    <row r="1" spans="3:10" ht="14.25" customHeight="1" x14ac:dyDescent="0.35"/>
    <row r="2" spans="3:10" ht="14.25" customHeight="1" x14ac:dyDescent="0.35"/>
    <row r="3" spans="3:10" ht="14.25" customHeight="1" x14ac:dyDescent="0.35">
      <c r="C3" s="8" t="s">
        <v>84</v>
      </c>
      <c r="D3" s="8" t="s">
        <v>81</v>
      </c>
      <c r="E3" s="8" t="s">
        <v>85</v>
      </c>
      <c r="F3" s="8" t="s">
        <v>86</v>
      </c>
      <c r="G3" s="8" t="s">
        <v>87</v>
      </c>
      <c r="H3" s="8" t="s">
        <v>83</v>
      </c>
      <c r="I3" s="8" t="s">
        <v>249</v>
      </c>
      <c r="J3" s="8" t="s">
        <v>3</v>
      </c>
    </row>
    <row r="4" spans="3:10" ht="14.25" customHeight="1" x14ac:dyDescent="0.35">
      <c r="C4" s="3">
        <v>1</v>
      </c>
      <c r="D4" s="10" t="s">
        <v>88</v>
      </c>
      <c r="E4" s="3" t="s">
        <v>89</v>
      </c>
      <c r="F4" s="3" t="s">
        <v>90</v>
      </c>
      <c r="G4" s="3" t="s">
        <v>91</v>
      </c>
      <c r="H4" s="5">
        <v>318355</v>
      </c>
      <c r="I4" s="3" t="s">
        <v>14</v>
      </c>
      <c r="J4" s="3" t="s">
        <v>250</v>
      </c>
    </row>
    <row r="5" spans="3:10" ht="14.25" customHeight="1" x14ac:dyDescent="0.35">
      <c r="C5" s="3">
        <v>2</v>
      </c>
      <c r="D5" s="10" t="s">
        <v>88</v>
      </c>
      <c r="E5" s="3" t="s">
        <v>93</v>
      </c>
      <c r="F5" s="3" t="s">
        <v>94</v>
      </c>
      <c r="G5" s="3" t="s">
        <v>95</v>
      </c>
      <c r="H5" s="5">
        <v>334852</v>
      </c>
      <c r="I5" s="3" t="s">
        <v>14</v>
      </c>
      <c r="J5" s="3" t="s">
        <v>39</v>
      </c>
    </row>
    <row r="6" spans="3:10" ht="14.25" customHeight="1" x14ac:dyDescent="0.35">
      <c r="C6" s="3">
        <v>3</v>
      </c>
      <c r="D6" s="10" t="s">
        <v>88</v>
      </c>
      <c r="E6" s="3" t="s">
        <v>97</v>
      </c>
      <c r="F6" s="3" t="s">
        <v>98</v>
      </c>
      <c r="G6" s="3" t="s">
        <v>53</v>
      </c>
      <c r="H6" s="5">
        <v>164629</v>
      </c>
      <c r="I6" s="3" t="s">
        <v>251</v>
      </c>
      <c r="J6" s="3" t="s">
        <v>55</v>
      </c>
    </row>
    <row r="7" spans="3:10" ht="14.25" customHeight="1" x14ac:dyDescent="0.35">
      <c r="C7" s="3">
        <v>4</v>
      </c>
      <c r="D7" s="10" t="s">
        <v>88</v>
      </c>
      <c r="E7" s="3" t="s">
        <v>99</v>
      </c>
      <c r="F7" s="3" t="s">
        <v>100</v>
      </c>
      <c r="G7" s="3" t="s">
        <v>53</v>
      </c>
      <c r="H7" s="5">
        <v>364466</v>
      </c>
      <c r="I7" s="3" t="s">
        <v>14</v>
      </c>
      <c r="J7" s="3" t="s">
        <v>33</v>
      </c>
    </row>
    <row r="8" spans="3:10" ht="14.25" customHeight="1" x14ac:dyDescent="0.35">
      <c r="C8" s="3">
        <v>5</v>
      </c>
      <c r="D8" s="10" t="s">
        <v>88</v>
      </c>
      <c r="E8" s="3" t="s">
        <v>101</v>
      </c>
      <c r="F8" s="3" t="s">
        <v>102</v>
      </c>
      <c r="G8" s="3" t="s">
        <v>53</v>
      </c>
      <c r="H8" s="5">
        <v>355847</v>
      </c>
      <c r="I8" s="3" t="s">
        <v>251</v>
      </c>
      <c r="J8" s="3" t="s">
        <v>61</v>
      </c>
    </row>
    <row r="9" spans="3:10" ht="14.25" customHeight="1" x14ac:dyDescent="0.35">
      <c r="C9" s="3">
        <v>6</v>
      </c>
      <c r="D9" s="10" t="s">
        <v>88</v>
      </c>
      <c r="E9" s="3" t="s">
        <v>103</v>
      </c>
      <c r="F9" s="3" t="s">
        <v>104</v>
      </c>
      <c r="G9" s="3" t="s">
        <v>105</v>
      </c>
      <c r="H9" s="5">
        <v>375272</v>
      </c>
      <c r="I9" s="3" t="s">
        <v>14</v>
      </c>
      <c r="J9" s="3" t="s">
        <v>250</v>
      </c>
    </row>
    <row r="10" spans="3:10" ht="14.25" customHeight="1" x14ac:dyDescent="0.35">
      <c r="C10" s="3">
        <v>7</v>
      </c>
      <c r="D10" s="10" t="s">
        <v>88</v>
      </c>
      <c r="E10" s="3" t="s">
        <v>108</v>
      </c>
      <c r="F10" s="3" t="s">
        <v>109</v>
      </c>
      <c r="G10" s="3" t="s">
        <v>110</v>
      </c>
      <c r="H10" s="5">
        <v>427057</v>
      </c>
      <c r="I10" s="3" t="s">
        <v>14</v>
      </c>
      <c r="J10" s="3" t="s">
        <v>250</v>
      </c>
    </row>
    <row r="11" spans="3:10" ht="14.25" customHeight="1" x14ac:dyDescent="0.35">
      <c r="C11" s="3">
        <v>8</v>
      </c>
      <c r="D11" s="10" t="s">
        <v>88</v>
      </c>
      <c r="E11" s="3" t="s">
        <v>111</v>
      </c>
      <c r="F11" s="3" t="s">
        <v>112</v>
      </c>
      <c r="G11" s="3" t="s">
        <v>91</v>
      </c>
      <c r="H11" s="5">
        <v>78854</v>
      </c>
      <c r="I11" s="3" t="s">
        <v>36</v>
      </c>
      <c r="J11" s="3" t="s">
        <v>252</v>
      </c>
    </row>
    <row r="12" spans="3:10" ht="14.25" customHeight="1" x14ac:dyDescent="0.35">
      <c r="C12" s="3">
        <v>9</v>
      </c>
      <c r="D12" s="10" t="s">
        <v>88</v>
      </c>
      <c r="E12" s="3" t="s">
        <v>113</v>
      </c>
      <c r="F12" s="3" t="s">
        <v>114</v>
      </c>
      <c r="G12" s="3" t="s">
        <v>91</v>
      </c>
      <c r="H12" s="5">
        <v>256174</v>
      </c>
      <c r="I12" s="3" t="s">
        <v>14</v>
      </c>
      <c r="J12" s="3" t="s">
        <v>33</v>
      </c>
    </row>
    <row r="13" spans="3:10" ht="14.25" customHeight="1" x14ac:dyDescent="0.35">
      <c r="C13" s="3">
        <v>10</v>
      </c>
      <c r="D13" s="10" t="s">
        <v>88</v>
      </c>
      <c r="E13" s="3" t="s">
        <v>115</v>
      </c>
      <c r="F13" s="3" t="s">
        <v>116</v>
      </c>
      <c r="G13" s="3" t="s">
        <v>117</v>
      </c>
      <c r="H13" s="5">
        <v>248345</v>
      </c>
      <c r="I13" s="3" t="s">
        <v>14</v>
      </c>
      <c r="J13" s="3" t="s">
        <v>250</v>
      </c>
    </row>
    <row r="14" spans="3:10" ht="14.25" customHeight="1" x14ac:dyDescent="0.35">
      <c r="C14" s="3">
        <v>11</v>
      </c>
      <c r="D14" s="10" t="s">
        <v>88</v>
      </c>
      <c r="E14" s="3" t="s">
        <v>118</v>
      </c>
      <c r="F14" s="3" t="s">
        <v>119</v>
      </c>
      <c r="G14" s="3" t="s">
        <v>91</v>
      </c>
      <c r="H14" s="5">
        <v>142358</v>
      </c>
      <c r="I14" s="3" t="s">
        <v>251</v>
      </c>
      <c r="J14" s="3" t="s">
        <v>61</v>
      </c>
    </row>
    <row r="15" spans="3:10" ht="14.25" customHeight="1" x14ac:dyDescent="0.35">
      <c r="C15" s="3">
        <v>12</v>
      </c>
      <c r="D15" s="10" t="s">
        <v>88</v>
      </c>
      <c r="E15" s="3" t="s">
        <v>120</v>
      </c>
      <c r="F15" s="3" t="s">
        <v>121</v>
      </c>
      <c r="G15" s="3" t="s">
        <v>110</v>
      </c>
      <c r="H15" s="5">
        <v>327420</v>
      </c>
      <c r="I15" s="3" t="s">
        <v>14</v>
      </c>
      <c r="J15" s="3" t="s">
        <v>33</v>
      </c>
    </row>
    <row r="16" spans="3:10" ht="14.25" customHeight="1" x14ac:dyDescent="0.35">
      <c r="C16" s="3">
        <v>13</v>
      </c>
      <c r="D16" s="10" t="s">
        <v>88</v>
      </c>
      <c r="E16" s="3" t="s">
        <v>124</v>
      </c>
      <c r="F16" s="3" t="s">
        <v>125</v>
      </c>
      <c r="G16" s="3" t="s">
        <v>105</v>
      </c>
      <c r="H16" s="5">
        <v>351372</v>
      </c>
      <c r="I16" s="3" t="s">
        <v>14</v>
      </c>
      <c r="J16" s="3" t="s">
        <v>39</v>
      </c>
    </row>
    <row r="17" spans="3:10" ht="14.25" customHeight="1" x14ac:dyDescent="0.35">
      <c r="C17" s="3">
        <v>14</v>
      </c>
      <c r="D17" s="10" t="s">
        <v>88</v>
      </c>
      <c r="E17" s="3" t="s">
        <v>126</v>
      </c>
      <c r="F17" s="3" t="s">
        <v>127</v>
      </c>
      <c r="G17" s="3" t="s">
        <v>110</v>
      </c>
      <c r="H17" s="5">
        <v>255445</v>
      </c>
      <c r="I17" s="3" t="s">
        <v>14</v>
      </c>
      <c r="J17" s="3" t="s">
        <v>33</v>
      </c>
    </row>
    <row r="18" spans="3:10" ht="14.25" customHeight="1" x14ac:dyDescent="0.35">
      <c r="C18" s="3">
        <v>15</v>
      </c>
      <c r="D18" s="10" t="s">
        <v>88</v>
      </c>
      <c r="E18" s="3" t="s">
        <v>131</v>
      </c>
      <c r="F18" s="3" t="s">
        <v>132</v>
      </c>
      <c r="G18" s="3" t="s">
        <v>95</v>
      </c>
      <c r="H18" s="5">
        <v>161086</v>
      </c>
      <c r="I18" s="3" t="s">
        <v>251</v>
      </c>
      <c r="J18" s="3" t="s">
        <v>55</v>
      </c>
    </row>
    <row r="19" spans="3:10" ht="14.25" customHeight="1" x14ac:dyDescent="0.35">
      <c r="C19" s="3">
        <v>16</v>
      </c>
      <c r="D19" s="10" t="s">
        <v>92</v>
      </c>
      <c r="E19" s="3" t="s">
        <v>133</v>
      </c>
      <c r="F19" s="3" t="s">
        <v>134</v>
      </c>
      <c r="G19" s="3" t="s">
        <v>53</v>
      </c>
      <c r="H19" s="5">
        <v>173889</v>
      </c>
      <c r="I19" s="3" t="s">
        <v>14</v>
      </c>
      <c r="J19" s="3" t="s">
        <v>33</v>
      </c>
    </row>
    <row r="20" spans="3:10" ht="14.25" customHeight="1" x14ac:dyDescent="0.35">
      <c r="C20" s="3">
        <v>17</v>
      </c>
      <c r="D20" s="10" t="s">
        <v>92</v>
      </c>
      <c r="E20" s="3" t="s">
        <v>135</v>
      </c>
      <c r="F20" s="3" t="s">
        <v>136</v>
      </c>
      <c r="G20" s="3" t="s">
        <v>95</v>
      </c>
      <c r="H20" s="5">
        <v>261151</v>
      </c>
      <c r="I20" s="3" t="s">
        <v>14</v>
      </c>
      <c r="J20" s="3" t="s">
        <v>39</v>
      </c>
    </row>
    <row r="21" spans="3:10" ht="14.25" customHeight="1" x14ac:dyDescent="0.35">
      <c r="C21" s="3">
        <v>18</v>
      </c>
      <c r="D21" s="10" t="s">
        <v>92</v>
      </c>
      <c r="E21" s="3" t="s">
        <v>137</v>
      </c>
      <c r="F21" s="3" t="s">
        <v>138</v>
      </c>
      <c r="G21" s="3" t="s">
        <v>53</v>
      </c>
      <c r="H21" s="5">
        <v>340480</v>
      </c>
      <c r="I21" s="3" t="s">
        <v>251</v>
      </c>
      <c r="J21" s="3" t="s">
        <v>61</v>
      </c>
    </row>
    <row r="22" spans="3:10" ht="14.25" customHeight="1" x14ac:dyDescent="0.35">
      <c r="C22" s="3">
        <v>19</v>
      </c>
      <c r="D22" s="10" t="s">
        <v>92</v>
      </c>
      <c r="E22" s="3" t="s">
        <v>139</v>
      </c>
      <c r="F22" s="3" t="s">
        <v>140</v>
      </c>
      <c r="G22" s="3" t="s">
        <v>105</v>
      </c>
      <c r="H22" s="5">
        <v>287246</v>
      </c>
      <c r="I22" s="3" t="s">
        <v>14</v>
      </c>
      <c r="J22" s="3" t="s">
        <v>33</v>
      </c>
    </row>
    <row r="23" spans="3:10" ht="14.25" customHeight="1" x14ac:dyDescent="0.35">
      <c r="C23" s="3">
        <v>20</v>
      </c>
      <c r="D23" s="10" t="s">
        <v>92</v>
      </c>
      <c r="E23" s="3" t="s">
        <v>141</v>
      </c>
      <c r="F23" s="3" t="s">
        <v>142</v>
      </c>
      <c r="G23" s="3" t="s">
        <v>117</v>
      </c>
      <c r="H23" s="5">
        <v>285945</v>
      </c>
      <c r="I23" s="3" t="s">
        <v>14</v>
      </c>
      <c r="J23" s="3" t="s">
        <v>33</v>
      </c>
    </row>
    <row r="24" spans="3:10" ht="14.25" customHeight="1" x14ac:dyDescent="0.35">
      <c r="C24" s="3">
        <v>21</v>
      </c>
      <c r="D24" s="10" t="s">
        <v>92</v>
      </c>
      <c r="E24" s="3" t="s">
        <v>143</v>
      </c>
      <c r="F24" s="3" t="s">
        <v>144</v>
      </c>
      <c r="G24" s="3" t="s">
        <v>53</v>
      </c>
      <c r="H24" s="5">
        <v>388243</v>
      </c>
      <c r="I24" s="3" t="s">
        <v>14</v>
      </c>
      <c r="J24" s="3" t="s">
        <v>39</v>
      </c>
    </row>
    <row r="25" spans="3:10" ht="14.25" customHeight="1" x14ac:dyDescent="0.35">
      <c r="C25" s="3">
        <v>22</v>
      </c>
      <c r="D25" s="10" t="s">
        <v>92</v>
      </c>
      <c r="E25" s="3" t="s">
        <v>145</v>
      </c>
      <c r="F25" s="3" t="s">
        <v>146</v>
      </c>
      <c r="G25" s="3" t="s">
        <v>105</v>
      </c>
      <c r="H25" s="5">
        <v>344278</v>
      </c>
      <c r="I25" s="3" t="s">
        <v>251</v>
      </c>
      <c r="J25" s="3" t="s">
        <v>55</v>
      </c>
    </row>
    <row r="26" spans="3:10" ht="14.25" customHeight="1" x14ac:dyDescent="0.35">
      <c r="C26" s="3">
        <v>23</v>
      </c>
      <c r="D26" s="10" t="s">
        <v>92</v>
      </c>
      <c r="E26" s="3" t="s">
        <v>148</v>
      </c>
      <c r="F26" s="3" t="s">
        <v>149</v>
      </c>
      <c r="G26" s="3" t="s">
        <v>53</v>
      </c>
      <c r="H26" s="5">
        <v>346685</v>
      </c>
      <c r="I26" s="3" t="s">
        <v>14</v>
      </c>
      <c r="J26" s="3" t="s">
        <v>250</v>
      </c>
    </row>
    <row r="27" spans="3:10" ht="14.25" customHeight="1" x14ac:dyDescent="0.35">
      <c r="C27" s="3">
        <v>24</v>
      </c>
      <c r="D27" s="10" t="s">
        <v>92</v>
      </c>
      <c r="E27" s="3" t="s">
        <v>150</v>
      </c>
      <c r="F27" s="3" t="s">
        <v>151</v>
      </c>
      <c r="G27" s="3" t="s">
        <v>147</v>
      </c>
      <c r="H27" s="5">
        <v>341037</v>
      </c>
      <c r="I27" s="3" t="s">
        <v>14</v>
      </c>
      <c r="J27" s="3" t="s">
        <v>33</v>
      </c>
    </row>
    <row r="28" spans="3:10" ht="14.25" customHeight="1" x14ac:dyDescent="0.35">
      <c r="C28" s="3">
        <v>25</v>
      </c>
      <c r="D28" s="10" t="s">
        <v>92</v>
      </c>
      <c r="E28" s="3" t="s">
        <v>152</v>
      </c>
      <c r="F28" s="3" t="s">
        <v>153</v>
      </c>
      <c r="G28" s="3" t="s">
        <v>147</v>
      </c>
      <c r="H28" s="5">
        <v>195572</v>
      </c>
      <c r="I28" s="3" t="s">
        <v>14</v>
      </c>
      <c r="J28" s="3" t="s">
        <v>250</v>
      </c>
    </row>
    <row r="29" spans="3:10" ht="14.25" customHeight="1" x14ac:dyDescent="0.35">
      <c r="C29" s="3">
        <v>26</v>
      </c>
      <c r="D29" s="10" t="s">
        <v>92</v>
      </c>
      <c r="E29" s="3" t="s">
        <v>154</v>
      </c>
      <c r="F29" s="3" t="s">
        <v>155</v>
      </c>
      <c r="G29" s="3" t="s">
        <v>105</v>
      </c>
      <c r="H29" s="5">
        <v>242166</v>
      </c>
      <c r="I29" s="3" t="s">
        <v>14</v>
      </c>
      <c r="J29" s="3" t="s">
        <v>250</v>
      </c>
    </row>
    <row r="30" spans="3:10" ht="14.25" customHeight="1" x14ac:dyDescent="0.35">
      <c r="C30" s="3">
        <v>27</v>
      </c>
      <c r="D30" s="10" t="s">
        <v>92</v>
      </c>
      <c r="E30" s="3" t="s">
        <v>156</v>
      </c>
      <c r="F30" s="3" t="s">
        <v>157</v>
      </c>
      <c r="G30" s="3" t="s">
        <v>95</v>
      </c>
      <c r="H30" s="5">
        <v>198420</v>
      </c>
      <c r="I30" s="3" t="s">
        <v>14</v>
      </c>
      <c r="J30" s="3" t="s">
        <v>33</v>
      </c>
    </row>
    <row r="31" spans="3:10" ht="14.25" customHeight="1" x14ac:dyDescent="0.35">
      <c r="C31" s="3">
        <v>28</v>
      </c>
      <c r="D31" s="10" t="s">
        <v>92</v>
      </c>
      <c r="E31" s="3" t="s">
        <v>158</v>
      </c>
      <c r="F31" s="3" t="s">
        <v>159</v>
      </c>
      <c r="G31" s="3" t="s">
        <v>147</v>
      </c>
      <c r="H31" s="5">
        <v>217169</v>
      </c>
      <c r="I31" s="3" t="s">
        <v>36</v>
      </c>
      <c r="J31" s="3" t="s">
        <v>252</v>
      </c>
    </row>
    <row r="32" spans="3:10" ht="14.25" customHeight="1" x14ac:dyDescent="0.35">
      <c r="C32" s="3">
        <v>29</v>
      </c>
      <c r="D32" s="10" t="s">
        <v>92</v>
      </c>
      <c r="E32" s="3" t="s">
        <v>160</v>
      </c>
      <c r="F32" s="3" t="s">
        <v>161</v>
      </c>
      <c r="G32" s="3" t="s">
        <v>110</v>
      </c>
      <c r="H32" s="5">
        <v>165617</v>
      </c>
      <c r="I32" s="3" t="s">
        <v>36</v>
      </c>
      <c r="J32" s="3" t="s">
        <v>252</v>
      </c>
    </row>
    <row r="33" spans="3:10" ht="14.25" customHeight="1" x14ac:dyDescent="0.35">
      <c r="C33" s="3">
        <v>30</v>
      </c>
      <c r="D33" s="10" t="s">
        <v>92</v>
      </c>
      <c r="E33" s="3" t="s">
        <v>162</v>
      </c>
      <c r="F33" s="3" t="s">
        <v>163</v>
      </c>
      <c r="G33" s="3" t="s">
        <v>91</v>
      </c>
      <c r="H33" s="5">
        <v>189628</v>
      </c>
      <c r="I33" s="3" t="s">
        <v>251</v>
      </c>
      <c r="J33" s="3" t="s">
        <v>58</v>
      </c>
    </row>
    <row r="34" spans="3:10" ht="14.25" customHeight="1" x14ac:dyDescent="0.35">
      <c r="C34" s="3">
        <v>31</v>
      </c>
      <c r="D34" s="10" t="s">
        <v>92</v>
      </c>
      <c r="E34" s="3" t="s">
        <v>164</v>
      </c>
      <c r="F34" s="3" t="s">
        <v>165</v>
      </c>
      <c r="G34" s="3" t="s">
        <v>91</v>
      </c>
      <c r="H34" s="5">
        <v>121882</v>
      </c>
      <c r="I34" s="3" t="s">
        <v>36</v>
      </c>
      <c r="J34" s="3" t="s">
        <v>51</v>
      </c>
    </row>
    <row r="35" spans="3:10" ht="14.25" customHeight="1" x14ac:dyDescent="0.35">
      <c r="C35" s="3">
        <v>32</v>
      </c>
      <c r="D35" s="10" t="s">
        <v>92</v>
      </c>
      <c r="E35" s="3" t="s">
        <v>166</v>
      </c>
      <c r="F35" s="3" t="s">
        <v>167</v>
      </c>
      <c r="G35" s="3" t="s">
        <v>95</v>
      </c>
      <c r="H35" s="5">
        <v>273975</v>
      </c>
      <c r="I35" s="3" t="s">
        <v>14</v>
      </c>
      <c r="J35" s="3" t="s">
        <v>33</v>
      </c>
    </row>
    <row r="36" spans="3:10" ht="14.25" customHeight="1" x14ac:dyDescent="0.35">
      <c r="C36" s="3">
        <v>33</v>
      </c>
      <c r="D36" s="10" t="s">
        <v>92</v>
      </c>
      <c r="E36" s="3" t="s">
        <v>168</v>
      </c>
      <c r="F36" s="3" t="s">
        <v>169</v>
      </c>
      <c r="G36" s="3" t="s">
        <v>147</v>
      </c>
      <c r="H36" s="5">
        <v>224311</v>
      </c>
      <c r="I36" s="3" t="s">
        <v>14</v>
      </c>
      <c r="J36" s="3" t="s">
        <v>39</v>
      </c>
    </row>
    <row r="37" spans="3:10" ht="14.25" customHeight="1" x14ac:dyDescent="0.35">
      <c r="C37" s="3">
        <v>34</v>
      </c>
      <c r="D37" s="10" t="s">
        <v>92</v>
      </c>
      <c r="E37" s="3" t="s">
        <v>170</v>
      </c>
      <c r="F37" s="3" t="s">
        <v>171</v>
      </c>
      <c r="G37" s="3" t="s">
        <v>110</v>
      </c>
      <c r="H37" s="5">
        <v>153924</v>
      </c>
      <c r="I37" s="3" t="s">
        <v>251</v>
      </c>
      <c r="J37" s="3" t="s">
        <v>61</v>
      </c>
    </row>
    <row r="38" spans="3:10" ht="14.25" customHeight="1" x14ac:dyDescent="0.35">
      <c r="C38" s="3">
        <v>35</v>
      </c>
      <c r="D38" s="10" t="s">
        <v>92</v>
      </c>
      <c r="E38" s="3" t="s">
        <v>172</v>
      </c>
      <c r="F38" s="3" t="s">
        <v>173</v>
      </c>
      <c r="G38" s="3" t="s">
        <v>147</v>
      </c>
      <c r="H38" s="5">
        <v>225960</v>
      </c>
      <c r="I38" s="3" t="s">
        <v>251</v>
      </c>
      <c r="J38" s="3" t="s">
        <v>61</v>
      </c>
    </row>
    <row r="39" spans="3:10" ht="14.25" customHeight="1" x14ac:dyDescent="0.35">
      <c r="C39" s="3">
        <v>36</v>
      </c>
      <c r="D39" s="10" t="s">
        <v>92</v>
      </c>
      <c r="E39" s="3" t="s">
        <v>174</v>
      </c>
      <c r="F39" s="3" t="s">
        <v>175</v>
      </c>
      <c r="G39" s="3" t="s">
        <v>117</v>
      </c>
      <c r="H39" s="5">
        <v>294654</v>
      </c>
      <c r="I39" s="3" t="s">
        <v>14</v>
      </c>
      <c r="J39" s="3" t="s">
        <v>39</v>
      </c>
    </row>
    <row r="40" spans="3:10" ht="14.25" customHeight="1" x14ac:dyDescent="0.35">
      <c r="C40" s="3">
        <v>37</v>
      </c>
      <c r="D40" s="10" t="s">
        <v>92</v>
      </c>
      <c r="E40" s="3" t="s">
        <v>176</v>
      </c>
      <c r="F40" s="3" t="s">
        <v>177</v>
      </c>
      <c r="G40" s="3" t="s">
        <v>147</v>
      </c>
      <c r="H40" s="5">
        <v>104463</v>
      </c>
      <c r="I40" s="3" t="s">
        <v>14</v>
      </c>
      <c r="J40" s="3" t="s">
        <v>33</v>
      </c>
    </row>
    <row r="41" spans="3:10" ht="14.25" customHeight="1" x14ac:dyDescent="0.35">
      <c r="C41" s="3">
        <v>38</v>
      </c>
      <c r="D41" s="10" t="s">
        <v>92</v>
      </c>
      <c r="E41" s="3" t="s">
        <v>178</v>
      </c>
      <c r="F41" s="3" t="s">
        <v>179</v>
      </c>
      <c r="G41" s="3" t="s">
        <v>147</v>
      </c>
      <c r="H41" s="5">
        <v>170062</v>
      </c>
      <c r="I41" s="3" t="s">
        <v>14</v>
      </c>
      <c r="J41" s="3" t="s">
        <v>250</v>
      </c>
    </row>
    <row r="42" spans="3:10" ht="14.25" customHeight="1" x14ac:dyDescent="0.35">
      <c r="C42" s="3">
        <v>39</v>
      </c>
      <c r="D42" s="10" t="s">
        <v>92</v>
      </c>
      <c r="E42" s="3" t="s">
        <v>180</v>
      </c>
      <c r="F42" s="3" t="s">
        <v>181</v>
      </c>
      <c r="G42" s="3" t="s">
        <v>117</v>
      </c>
      <c r="H42" s="5">
        <v>220934</v>
      </c>
      <c r="I42" s="3" t="s">
        <v>14</v>
      </c>
      <c r="J42" s="3" t="s">
        <v>250</v>
      </c>
    </row>
    <row r="43" spans="3:10" ht="14.25" customHeight="1" x14ac:dyDescent="0.35">
      <c r="C43" s="3">
        <v>40</v>
      </c>
      <c r="D43" s="10" t="s">
        <v>92</v>
      </c>
      <c r="E43" s="3" t="s">
        <v>182</v>
      </c>
      <c r="F43" s="3" t="s">
        <v>183</v>
      </c>
      <c r="G43" s="3" t="s">
        <v>53</v>
      </c>
      <c r="H43" s="5">
        <v>371073</v>
      </c>
      <c r="I43" s="3" t="s">
        <v>14</v>
      </c>
      <c r="J43" s="3" t="s">
        <v>250</v>
      </c>
    </row>
    <row r="44" spans="3:10" ht="14.25" customHeight="1" x14ac:dyDescent="0.35">
      <c r="C44" s="3">
        <v>41</v>
      </c>
      <c r="D44" s="10" t="s">
        <v>92</v>
      </c>
      <c r="E44" s="3" t="s">
        <v>184</v>
      </c>
      <c r="F44" s="3" t="s">
        <v>185</v>
      </c>
      <c r="G44" s="3" t="s">
        <v>53</v>
      </c>
      <c r="H44" s="5">
        <v>334101</v>
      </c>
      <c r="I44" s="3" t="s">
        <v>14</v>
      </c>
      <c r="J44" s="3" t="s">
        <v>39</v>
      </c>
    </row>
    <row r="45" spans="3:10" ht="14.25" customHeight="1" x14ac:dyDescent="0.35">
      <c r="C45" s="3">
        <v>42</v>
      </c>
      <c r="D45" s="10" t="s">
        <v>92</v>
      </c>
      <c r="E45" s="3" t="s">
        <v>186</v>
      </c>
      <c r="F45" s="3" t="s">
        <v>187</v>
      </c>
      <c r="G45" s="3" t="s">
        <v>117</v>
      </c>
      <c r="H45" s="5">
        <v>361400</v>
      </c>
      <c r="I45" s="3" t="s">
        <v>14</v>
      </c>
      <c r="J45" s="3" t="s">
        <v>250</v>
      </c>
    </row>
    <row r="46" spans="3:10" ht="14.25" customHeight="1" x14ac:dyDescent="0.35">
      <c r="C46" s="3">
        <v>43</v>
      </c>
      <c r="D46" s="10" t="s">
        <v>96</v>
      </c>
      <c r="E46" s="3" t="s">
        <v>188</v>
      </c>
      <c r="F46" s="3" t="s">
        <v>189</v>
      </c>
      <c r="G46" s="3" t="s">
        <v>105</v>
      </c>
      <c r="H46" s="5">
        <v>243402</v>
      </c>
      <c r="I46" s="3" t="s">
        <v>14</v>
      </c>
      <c r="J46" s="3" t="s">
        <v>39</v>
      </c>
    </row>
    <row r="47" spans="3:10" ht="14.25" customHeight="1" x14ac:dyDescent="0.35">
      <c r="C47" s="3">
        <v>44</v>
      </c>
      <c r="D47" s="10" t="s">
        <v>96</v>
      </c>
      <c r="E47" s="3" t="s">
        <v>190</v>
      </c>
      <c r="F47" s="3" t="s">
        <v>191</v>
      </c>
      <c r="G47" s="3" t="s">
        <v>117</v>
      </c>
      <c r="H47" s="5">
        <v>365070</v>
      </c>
      <c r="I47" s="3" t="s">
        <v>14</v>
      </c>
      <c r="J47" s="3" t="s">
        <v>39</v>
      </c>
    </row>
    <row r="48" spans="3:10" ht="14.25" customHeight="1" x14ac:dyDescent="0.35">
      <c r="C48" s="3">
        <v>45</v>
      </c>
      <c r="D48" s="10" t="s">
        <v>96</v>
      </c>
      <c r="E48" s="3" t="s">
        <v>192</v>
      </c>
      <c r="F48" s="3" t="s">
        <v>193</v>
      </c>
      <c r="G48" s="3" t="s">
        <v>117</v>
      </c>
      <c r="H48" s="5">
        <v>164880</v>
      </c>
      <c r="I48" s="3" t="s">
        <v>36</v>
      </c>
      <c r="J48" s="3" t="s">
        <v>51</v>
      </c>
    </row>
    <row r="49" spans="3:10" ht="14.25" customHeight="1" x14ac:dyDescent="0.35">
      <c r="C49" s="3">
        <v>46</v>
      </c>
      <c r="D49" s="10" t="s">
        <v>96</v>
      </c>
      <c r="E49" s="3" t="s">
        <v>194</v>
      </c>
      <c r="F49" s="3" t="s">
        <v>195</v>
      </c>
      <c r="G49" s="3" t="s">
        <v>53</v>
      </c>
      <c r="H49" s="5">
        <v>333776</v>
      </c>
      <c r="I49" s="3" t="s">
        <v>14</v>
      </c>
      <c r="J49" s="3" t="s">
        <v>39</v>
      </c>
    </row>
    <row r="50" spans="3:10" ht="14.25" customHeight="1" x14ac:dyDescent="0.35">
      <c r="C50" s="3">
        <v>47</v>
      </c>
      <c r="D50" s="10" t="s">
        <v>96</v>
      </c>
      <c r="E50" s="3" t="s">
        <v>196</v>
      </c>
      <c r="F50" s="3" t="s">
        <v>197</v>
      </c>
      <c r="G50" s="3" t="s">
        <v>147</v>
      </c>
      <c r="H50" s="5">
        <v>161983</v>
      </c>
      <c r="I50" s="3" t="s">
        <v>251</v>
      </c>
      <c r="J50" s="3" t="s">
        <v>58</v>
      </c>
    </row>
    <row r="51" spans="3:10" ht="14.25" customHeight="1" x14ac:dyDescent="0.35">
      <c r="C51" s="3">
        <v>48</v>
      </c>
      <c r="D51" s="10" t="s">
        <v>96</v>
      </c>
      <c r="E51" s="3" t="s">
        <v>198</v>
      </c>
      <c r="F51" s="3" t="s">
        <v>199</v>
      </c>
      <c r="G51" s="3" t="s">
        <v>117</v>
      </c>
      <c r="H51" s="5">
        <v>305931</v>
      </c>
      <c r="I51" s="3" t="s">
        <v>14</v>
      </c>
      <c r="J51" s="3" t="s">
        <v>33</v>
      </c>
    </row>
    <row r="52" spans="3:10" ht="14.25" customHeight="1" x14ac:dyDescent="0.35">
      <c r="C52" s="3">
        <v>49</v>
      </c>
      <c r="D52" s="10" t="s">
        <v>96</v>
      </c>
      <c r="E52" s="3" t="s">
        <v>200</v>
      </c>
      <c r="F52" s="3" t="s">
        <v>201</v>
      </c>
      <c r="G52" s="3" t="s">
        <v>105</v>
      </c>
      <c r="H52" s="5">
        <v>186821</v>
      </c>
      <c r="I52" s="3" t="s">
        <v>251</v>
      </c>
      <c r="J52" s="3" t="s">
        <v>58</v>
      </c>
    </row>
    <row r="53" spans="3:10" ht="14.25" customHeight="1" x14ac:dyDescent="0.35">
      <c r="C53" s="3">
        <v>50</v>
      </c>
      <c r="D53" s="10" t="s">
        <v>96</v>
      </c>
      <c r="E53" s="3" t="s">
        <v>202</v>
      </c>
      <c r="F53" s="3" t="s">
        <v>203</v>
      </c>
      <c r="G53" s="3" t="s">
        <v>95</v>
      </c>
      <c r="H53" s="5">
        <v>188589</v>
      </c>
      <c r="I53" s="3" t="s">
        <v>14</v>
      </c>
      <c r="J53" s="3" t="s">
        <v>33</v>
      </c>
    </row>
    <row r="54" spans="3:10" ht="14.25" customHeight="1" x14ac:dyDescent="0.35"/>
    <row r="55" spans="3:10" ht="14.25" customHeight="1" x14ac:dyDescent="0.35"/>
    <row r="56" spans="3:10" ht="14.25" customHeight="1" x14ac:dyDescent="0.35"/>
    <row r="57" spans="3:10" ht="14.25" customHeight="1" x14ac:dyDescent="0.35"/>
    <row r="58" spans="3:10" ht="14.25" customHeight="1" x14ac:dyDescent="0.35"/>
    <row r="59" spans="3:10" ht="14.25" customHeight="1" x14ac:dyDescent="0.35"/>
    <row r="60" spans="3:10" ht="14.25" customHeight="1" x14ac:dyDescent="0.35"/>
    <row r="61" spans="3:10" ht="14.25" customHeight="1" x14ac:dyDescent="0.35"/>
    <row r="62" spans="3:10" ht="14.25" customHeight="1" x14ac:dyDescent="0.35"/>
    <row r="63" spans="3:10" ht="14.25" customHeight="1" x14ac:dyDescent="0.35"/>
    <row r="64" spans="3:10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4.453125" defaultRowHeight="15" customHeight="1" x14ac:dyDescent="0.35"/>
  <cols>
    <col min="1" max="2" width="8.7265625" customWidth="1"/>
    <col min="3" max="3" width="9.26953125" customWidth="1"/>
    <col min="4" max="4" width="21.81640625" customWidth="1"/>
    <col min="5" max="5" width="8" customWidth="1"/>
    <col min="6" max="6" width="13" customWidth="1"/>
    <col min="7" max="9" width="8.7265625" customWidth="1"/>
    <col min="10" max="10" width="12.54296875" customWidth="1"/>
    <col min="11" max="13" width="8.7265625" customWidth="1"/>
    <col min="14" max="14" width="14.08984375" customWidth="1"/>
    <col min="15" max="15" width="9" customWidth="1"/>
    <col min="16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5">
      <c r="A3" s="1"/>
      <c r="B3" s="1"/>
      <c r="C3" s="43" t="s">
        <v>253</v>
      </c>
      <c r="D3" s="27"/>
      <c r="E3" s="27"/>
      <c r="F3" s="28"/>
      <c r="G3" s="1"/>
      <c r="H3" s="1"/>
      <c r="I3" s="43" t="s">
        <v>254</v>
      </c>
      <c r="J3" s="27"/>
      <c r="K3" s="2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23" t="s">
        <v>255</v>
      </c>
      <c r="D4" s="23" t="s">
        <v>256</v>
      </c>
      <c r="E4" s="23" t="s">
        <v>257</v>
      </c>
      <c r="F4" s="23" t="s">
        <v>258</v>
      </c>
      <c r="G4" s="1"/>
      <c r="H4" s="1"/>
      <c r="I4" s="23" t="s">
        <v>255</v>
      </c>
      <c r="J4" s="23" t="s">
        <v>259</v>
      </c>
      <c r="K4" s="23" t="s">
        <v>258</v>
      </c>
      <c r="L4" s="1"/>
      <c r="M4" s="1"/>
      <c r="N4" s="24" t="s">
        <v>259</v>
      </c>
      <c r="O4" s="24" t="s">
        <v>258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10">
        <v>44928</v>
      </c>
      <c r="D5" s="3" t="s">
        <v>260</v>
      </c>
      <c r="E5" s="3"/>
      <c r="F5" s="3">
        <v>10000</v>
      </c>
      <c r="G5" s="1"/>
      <c r="H5" s="1"/>
      <c r="I5" s="10">
        <v>44958</v>
      </c>
      <c r="J5" s="3"/>
      <c r="K5" s="3"/>
      <c r="L5" s="1"/>
      <c r="M5" s="1"/>
      <c r="N5" s="3" t="s">
        <v>261</v>
      </c>
      <c r="O5" s="5">
        <v>7000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10">
        <v>44930</v>
      </c>
      <c r="D6" s="3" t="s">
        <v>262</v>
      </c>
      <c r="E6" s="3"/>
      <c r="F6" s="3">
        <v>20000</v>
      </c>
      <c r="G6" s="1"/>
      <c r="H6" s="1"/>
      <c r="I6" s="10">
        <v>44958</v>
      </c>
      <c r="J6" s="3"/>
      <c r="K6" s="3"/>
      <c r="L6" s="1"/>
      <c r="M6" s="1"/>
      <c r="N6" s="3" t="s">
        <v>263</v>
      </c>
      <c r="O6" s="5">
        <v>4500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10">
        <v>44935</v>
      </c>
      <c r="D7" s="3" t="s">
        <v>264</v>
      </c>
      <c r="E7" s="3"/>
      <c r="F7" s="3">
        <v>4500</v>
      </c>
      <c r="G7" s="1"/>
      <c r="H7" s="1"/>
      <c r="I7" s="10">
        <v>44958</v>
      </c>
      <c r="J7" s="3"/>
      <c r="K7" s="3"/>
      <c r="L7" s="1"/>
      <c r="M7" s="1"/>
      <c r="N7" s="3" t="s">
        <v>265</v>
      </c>
      <c r="O7" s="5">
        <v>3500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10">
        <v>44936</v>
      </c>
      <c r="D8" s="3" t="s">
        <v>266</v>
      </c>
      <c r="E8" s="3"/>
      <c r="F8" s="3">
        <v>300</v>
      </c>
      <c r="G8" s="1"/>
      <c r="H8" s="1"/>
      <c r="I8" s="10">
        <v>44958</v>
      </c>
      <c r="J8" s="3"/>
      <c r="K8" s="3"/>
      <c r="L8" s="1"/>
      <c r="M8" s="1"/>
      <c r="N8" s="3" t="s">
        <v>267</v>
      </c>
      <c r="O8" s="5">
        <v>6000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10">
        <v>44937</v>
      </c>
      <c r="D9" s="3" t="s">
        <v>268</v>
      </c>
      <c r="E9" s="3"/>
      <c r="F9" s="3">
        <v>7800</v>
      </c>
      <c r="G9" s="1"/>
      <c r="H9" s="1"/>
      <c r="I9" s="10">
        <v>44958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10">
        <v>44938</v>
      </c>
      <c r="D10" s="3" t="s">
        <v>269</v>
      </c>
      <c r="E10" s="3"/>
      <c r="F10" s="3">
        <v>150000</v>
      </c>
      <c r="G10" s="1"/>
      <c r="H10" s="1"/>
      <c r="I10" s="10">
        <v>44958</v>
      </c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10">
        <v>44943</v>
      </c>
      <c r="D11" s="3" t="s">
        <v>270</v>
      </c>
      <c r="E11" s="3"/>
      <c r="F11" s="3">
        <v>3000</v>
      </c>
      <c r="G11" s="1"/>
      <c r="H11" s="1"/>
      <c r="I11" s="10">
        <v>44958</v>
      </c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10">
        <v>44944</v>
      </c>
      <c r="D12" s="3" t="s">
        <v>271</v>
      </c>
      <c r="E12" s="3"/>
      <c r="F12" s="3">
        <v>90000</v>
      </c>
      <c r="G12" s="1"/>
      <c r="H12" s="1"/>
      <c r="I12" s="10">
        <v>44958</v>
      </c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10">
        <v>44944</v>
      </c>
      <c r="D13" s="3" t="s">
        <v>272</v>
      </c>
      <c r="E13" s="3"/>
      <c r="F13" s="3">
        <v>2000</v>
      </c>
      <c r="G13" s="1"/>
      <c r="H13" s="1"/>
      <c r="I13" s="10">
        <v>44958</v>
      </c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10">
        <v>44945</v>
      </c>
      <c r="D14" s="3" t="s">
        <v>273</v>
      </c>
      <c r="E14" s="3"/>
      <c r="F14" s="3">
        <v>1900</v>
      </c>
      <c r="G14" s="1"/>
      <c r="H14" s="1"/>
      <c r="I14" s="10">
        <v>44958</v>
      </c>
      <c r="J14" s="3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10">
        <v>44945</v>
      </c>
      <c r="D15" s="3" t="s">
        <v>274</v>
      </c>
      <c r="E15" s="3"/>
      <c r="F15" s="3">
        <v>1650</v>
      </c>
      <c r="G15" s="1"/>
      <c r="H15" s="1"/>
      <c r="I15" s="10">
        <v>44958</v>
      </c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1"/>
      <c r="C16" s="10">
        <v>44950</v>
      </c>
      <c r="D16" s="3" t="s">
        <v>275</v>
      </c>
      <c r="E16" s="3"/>
      <c r="F16" s="3">
        <v>9500</v>
      </c>
      <c r="G16" s="1"/>
      <c r="H16" s="1"/>
      <c r="I16" s="10">
        <v>44958</v>
      </c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10">
        <v>44951</v>
      </c>
      <c r="D17" s="3" t="s">
        <v>276</v>
      </c>
      <c r="E17" s="3"/>
      <c r="F17" s="3">
        <v>700</v>
      </c>
      <c r="G17" s="1"/>
      <c r="H17" s="1"/>
      <c r="I17" s="10">
        <v>44958</v>
      </c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10">
        <v>44953</v>
      </c>
      <c r="D18" s="3" t="s">
        <v>277</v>
      </c>
      <c r="E18" s="3"/>
      <c r="F18" s="3">
        <v>9800</v>
      </c>
      <c r="G18" s="1"/>
      <c r="H18" s="1"/>
      <c r="I18" s="10">
        <v>44958</v>
      </c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C3:F3"/>
    <mergeCell ref="I3:K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Q1000"/>
  <sheetViews>
    <sheetView showGridLines="0" workbookViewId="0"/>
  </sheetViews>
  <sheetFormatPr defaultColWidth="14.453125" defaultRowHeight="15" customHeight="1" x14ac:dyDescent="0.35"/>
  <cols>
    <col min="1" max="2" width="8.7265625" customWidth="1"/>
    <col min="3" max="3" width="14.453125" customWidth="1"/>
    <col min="4" max="4" width="23.81640625" customWidth="1"/>
    <col min="5" max="6" width="8.7265625" customWidth="1"/>
    <col min="7" max="7" width="14.453125" customWidth="1"/>
    <col min="8" max="8" width="8.453125" customWidth="1"/>
    <col min="9" max="9" width="8.7265625" customWidth="1"/>
    <col min="10" max="10" width="14.453125" customWidth="1"/>
    <col min="11" max="11" width="13.08984375" customWidth="1"/>
    <col min="12" max="12" width="12.54296875" customWidth="1"/>
    <col min="13" max="13" width="8.7265625" customWidth="1"/>
    <col min="14" max="14" width="10.26953125" customWidth="1"/>
    <col min="15" max="15" width="5.81640625" customWidth="1"/>
    <col min="16" max="16" width="8.54296875" customWidth="1"/>
    <col min="17" max="17" width="5.08984375" customWidth="1"/>
  </cols>
  <sheetData>
    <row r="1" spans="3:17" ht="14.25" customHeight="1" x14ac:dyDescent="0.35"/>
    <row r="2" spans="3:17" ht="14.25" customHeight="1" x14ac:dyDescent="0.35"/>
    <row r="3" spans="3:17" ht="14.25" customHeight="1" x14ac:dyDescent="0.45">
      <c r="C3" s="25" t="s">
        <v>3</v>
      </c>
      <c r="D3" s="25" t="s">
        <v>278</v>
      </c>
      <c r="E3" s="1"/>
      <c r="F3" s="1"/>
      <c r="G3" s="25" t="s">
        <v>3</v>
      </c>
      <c r="H3" s="25" t="s">
        <v>279</v>
      </c>
      <c r="I3" s="1"/>
      <c r="J3" s="25" t="s">
        <v>3</v>
      </c>
      <c r="K3" s="25" t="s">
        <v>280</v>
      </c>
      <c r="L3" s="25" t="s">
        <v>281</v>
      </c>
      <c r="M3" s="1"/>
      <c r="N3" s="25" t="s">
        <v>255</v>
      </c>
      <c r="O3" s="25" t="s">
        <v>282</v>
      </c>
      <c r="P3" s="25" t="s">
        <v>81</v>
      </c>
      <c r="Q3" s="25" t="s">
        <v>283</v>
      </c>
    </row>
    <row r="4" spans="3:17" ht="14.25" customHeight="1" x14ac:dyDescent="0.35">
      <c r="C4" s="3" t="s">
        <v>215</v>
      </c>
      <c r="D4" s="3"/>
      <c r="E4" s="1"/>
      <c r="F4" s="1"/>
      <c r="G4" s="3" t="s">
        <v>215</v>
      </c>
      <c r="H4" s="3"/>
      <c r="I4" s="1"/>
      <c r="J4" s="3" t="s">
        <v>215</v>
      </c>
      <c r="K4" s="3"/>
      <c r="L4" s="3"/>
      <c r="M4" s="1"/>
      <c r="N4" s="10">
        <v>44471</v>
      </c>
      <c r="O4" s="3"/>
      <c r="P4" s="3"/>
      <c r="Q4" s="3"/>
    </row>
    <row r="5" spans="3:17" ht="14.25" customHeight="1" x14ac:dyDescent="0.35">
      <c r="C5" s="3" t="s">
        <v>284</v>
      </c>
      <c r="D5" s="3"/>
      <c r="E5" s="1"/>
      <c r="F5" s="1"/>
      <c r="G5" s="3" t="s">
        <v>284</v>
      </c>
      <c r="H5" s="3"/>
      <c r="I5" s="1"/>
      <c r="J5" s="3" t="s">
        <v>284</v>
      </c>
      <c r="K5" s="3"/>
      <c r="L5" s="3"/>
      <c r="M5" s="1"/>
      <c r="N5" s="10">
        <v>43180</v>
      </c>
      <c r="O5" s="3"/>
      <c r="P5" s="3"/>
      <c r="Q5" s="3"/>
    </row>
    <row r="6" spans="3:17" ht="14.25" customHeight="1" x14ac:dyDescent="0.35">
      <c r="C6" s="3" t="s">
        <v>217</v>
      </c>
      <c r="D6" s="3"/>
      <c r="E6" s="1"/>
      <c r="F6" s="1"/>
      <c r="G6" s="3" t="s">
        <v>217</v>
      </c>
      <c r="H6" s="3"/>
      <c r="I6" s="1"/>
      <c r="J6" s="3" t="s">
        <v>217</v>
      </c>
      <c r="K6" s="3"/>
      <c r="L6" s="3"/>
      <c r="M6" s="1"/>
      <c r="N6" s="10">
        <v>43837</v>
      </c>
      <c r="O6" s="3"/>
      <c r="P6" s="3"/>
      <c r="Q6" s="3"/>
    </row>
    <row r="7" spans="3:17" ht="14.25" customHeight="1" x14ac:dyDescent="0.35">
      <c r="C7" s="3" t="s">
        <v>285</v>
      </c>
      <c r="D7" s="3"/>
      <c r="E7" s="1"/>
      <c r="F7" s="1"/>
      <c r="G7" s="3" t="s">
        <v>285</v>
      </c>
      <c r="H7" s="3"/>
      <c r="I7" s="1"/>
      <c r="J7" s="3" t="s">
        <v>285</v>
      </c>
      <c r="K7" s="3"/>
      <c r="L7" s="3"/>
      <c r="M7" s="1"/>
      <c r="N7" s="10">
        <v>44609</v>
      </c>
      <c r="O7" s="3"/>
      <c r="P7" s="3"/>
      <c r="Q7" s="3"/>
    </row>
    <row r="8" spans="3:17" ht="14.25" customHeight="1" x14ac:dyDescent="0.35">
      <c r="C8" s="3" t="s">
        <v>286</v>
      </c>
      <c r="D8" s="3"/>
      <c r="E8" s="1"/>
      <c r="F8" s="1"/>
      <c r="G8" s="3" t="s">
        <v>286</v>
      </c>
      <c r="H8" s="3"/>
      <c r="I8" s="1"/>
      <c r="J8" s="3" t="s">
        <v>286</v>
      </c>
      <c r="K8" s="3"/>
      <c r="L8" s="3"/>
      <c r="M8" s="1"/>
      <c r="N8" s="10">
        <v>42732</v>
      </c>
      <c r="O8" s="3"/>
      <c r="P8" s="3"/>
      <c r="Q8" s="3"/>
    </row>
    <row r="9" spans="3:17" ht="14.25" customHeight="1" x14ac:dyDescent="0.35">
      <c r="C9" s="3" t="s">
        <v>287</v>
      </c>
      <c r="D9" s="3"/>
      <c r="E9" s="1"/>
      <c r="F9" s="1"/>
      <c r="G9" s="3" t="s">
        <v>287</v>
      </c>
      <c r="H9" s="3"/>
      <c r="I9" s="1"/>
      <c r="J9" s="3" t="s">
        <v>287</v>
      </c>
      <c r="K9" s="3"/>
      <c r="L9" s="3"/>
      <c r="M9" s="1"/>
      <c r="N9" s="10">
        <v>43304</v>
      </c>
      <c r="O9" s="3"/>
      <c r="P9" s="3"/>
      <c r="Q9" s="3"/>
    </row>
    <row r="10" spans="3:17" ht="14.25" customHeight="1" x14ac:dyDescent="0.35">
      <c r="C10" s="3" t="s">
        <v>288</v>
      </c>
      <c r="D10" s="3"/>
      <c r="E10" s="1"/>
      <c r="F10" s="1"/>
      <c r="G10" s="3" t="s">
        <v>288</v>
      </c>
      <c r="H10" s="3"/>
      <c r="I10" s="1"/>
      <c r="J10" s="3" t="s">
        <v>288</v>
      </c>
      <c r="K10" s="3"/>
      <c r="L10" s="3"/>
      <c r="M10" s="1"/>
      <c r="N10" s="10">
        <v>38409</v>
      </c>
      <c r="O10" s="3"/>
      <c r="P10" s="3"/>
      <c r="Q10" s="3"/>
    </row>
    <row r="11" spans="3:17" ht="14.25" customHeight="1" x14ac:dyDescent="0.35">
      <c r="C11" s="3" t="s">
        <v>289</v>
      </c>
      <c r="D11" s="3"/>
      <c r="E11" s="1"/>
      <c r="F11" s="1"/>
      <c r="G11" s="3" t="s">
        <v>289</v>
      </c>
      <c r="H11" s="3"/>
      <c r="I11" s="1"/>
      <c r="J11" s="3" t="s">
        <v>289</v>
      </c>
      <c r="K11" s="3"/>
      <c r="L11" s="3"/>
      <c r="M11" s="1"/>
      <c r="N11" s="10">
        <v>44264</v>
      </c>
      <c r="O11" s="3"/>
      <c r="P11" s="3"/>
      <c r="Q11" s="3"/>
    </row>
    <row r="12" spans="3:17" ht="14.25" customHeight="1" x14ac:dyDescent="0.35">
      <c r="C12" s="3" t="s">
        <v>290</v>
      </c>
      <c r="D12" s="3"/>
      <c r="E12" s="1"/>
      <c r="F12" s="1"/>
      <c r="G12" s="3" t="s">
        <v>290</v>
      </c>
      <c r="H12" s="3"/>
      <c r="I12" s="1"/>
      <c r="J12" s="3" t="s">
        <v>290</v>
      </c>
      <c r="K12" s="3"/>
      <c r="L12" s="3"/>
      <c r="M12" s="1"/>
      <c r="N12" s="10">
        <v>44663</v>
      </c>
      <c r="O12" s="3"/>
      <c r="P12" s="3"/>
      <c r="Q12" s="3"/>
    </row>
    <row r="13" spans="3:17" ht="14.25" customHeight="1" x14ac:dyDescent="0.35">
      <c r="C13" s="3" t="s">
        <v>291</v>
      </c>
      <c r="D13" s="3"/>
      <c r="E13" s="1"/>
      <c r="F13" s="1"/>
      <c r="G13" s="3" t="s">
        <v>291</v>
      </c>
      <c r="H13" s="3"/>
      <c r="I13" s="1"/>
      <c r="J13" s="3" t="s">
        <v>291</v>
      </c>
      <c r="K13" s="3"/>
      <c r="L13" s="3"/>
      <c r="M13" s="1"/>
      <c r="N13" s="10">
        <v>44876</v>
      </c>
      <c r="O13" s="3"/>
      <c r="P13" s="3"/>
      <c r="Q13" s="3"/>
    </row>
    <row r="14" spans="3:17" ht="14.25" customHeight="1" x14ac:dyDescent="0.35">
      <c r="C14" s="3" t="s">
        <v>292</v>
      </c>
      <c r="D14" s="3"/>
      <c r="E14" s="1"/>
      <c r="F14" s="1"/>
      <c r="G14" s="3" t="s">
        <v>292</v>
      </c>
      <c r="H14" s="3"/>
      <c r="I14" s="1"/>
      <c r="J14" s="3" t="s">
        <v>292</v>
      </c>
      <c r="K14" s="3"/>
      <c r="L14" s="3"/>
      <c r="M14" s="1"/>
      <c r="N14" s="10">
        <v>42146</v>
      </c>
      <c r="O14" s="3"/>
      <c r="P14" s="3"/>
      <c r="Q14" s="3"/>
    </row>
    <row r="15" spans="3:17" ht="14.25" customHeight="1" x14ac:dyDescent="0.35">
      <c r="C15" s="3" t="s">
        <v>293</v>
      </c>
      <c r="D15" s="3"/>
      <c r="E15" s="1"/>
      <c r="F15" s="1"/>
      <c r="G15" s="3" t="s">
        <v>293</v>
      </c>
      <c r="H15" s="3"/>
      <c r="I15" s="1"/>
      <c r="J15" s="3" t="s">
        <v>293</v>
      </c>
      <c r="K15" s="3"/>
      <c r="L15" s="3"/>
      <c r="M15" s="1"/>
      <c r="N15" s="10">
        <v>43906</v>
      </c>
      <c r="O15" s="3"/>
      <c r="P15" s="3"/>
      <c r="Q15" s="3"/>
    </row>
    <row r="16" spans="3:17" ht="14.25" customHeight="1" x14ac:dyDescent="0.3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0">
        <v>43523</v>
      </c>
      <c r="O16" s="3"/>
      <c r="P16" s="3"/>
      <c r="Q16" s="3"/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Function 1</vt:lpstr>
      <vt:lpstr>Function 2</vt:lpstr>
      <vt:lpstr>IF</vt:lpstr>
      <vt:lpstr>AND, OR</vt:lpstr>
      <vt:lpstr>IF_Continue</vt:lpstr>
      <vt:lpstr>Table</vt:lpstr>
      <vt:lpstr>Data Validation</vt:lpstr>
      <vt:lpstr>Flash Fill</vt:lpstr>
      <vt:lpstr>Commision</vt:lpstr>
      <vt:lpstr>Month</vt:lpstr>
      <vt:lpstr>Premium</vt:lpstr>
      <vt:lpstr>Salary</vt:lpstr>
      <vt:lpstr>Tax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Chibuike</cp:lastModifiedBy>
  <dcterms:modified xsi:type="dcterms:W3CDTF">2026-01-04T04:10:48Z</dcterms:modified>
</cp:coreProperties>
</file>